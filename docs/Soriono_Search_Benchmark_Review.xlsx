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7f80b3f8b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906fe7b43ee44aed"/>
    <x:sheet xmlns:r="http://schemas.openxmlformats.org/officeDocument/2006/relationships" name="Fragen" sheetId="2" r:id="R659b28e768dd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84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B2E4F"/>
      <x:name val="Carlito"/>
    </x:font>
    <x:font>
      <x:b/>
      <x:sz val="11"/>
      <x:color rgb="FFA61B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848"/>
      </x:patternFill>
    </x:fill>
    <x:fill>
      <x:patternFill patternType="solid">
        <x:fgColor rgb="FFDCE8F2"/>
      </x:patternFill>
    </x:fill>
    <x:fill>
      <x:patternFill patternType="solid">
        <x:fgColor rgb="FF0B2E4F"/>
      </x:patternFill>
    </x:fill>
    <x:fill>
      <x:patternFill patternType="solid">
        <x:fgColor rgb="FFDCE8F2"/>
      </x:patternFill>
    </x:fill>
    <x:fill>
      <x:patternFill patternType="solid">
        <x:fgColor rgb="FFFDE9E7"/>
      </x:patternFill>
    </x:fill>
  </x:fills>
  <x:borders count="13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4" fillId="0" borderId="9" xfId="0" applyNumberFormat="1" applyFont="1" applyFill="1" applyBorder="1"/>
    <x:xf numFmtId="200" fontId="0" fillId="0" borderId="10" xfId="0" applyNumberFormat="1" applyFont="1" applyFill="1" applyBorder="1"/>
    <x:xf numFmtId="0" fontId="4" fillId="0" borderId="11" xfId="0" applyNumberFormat="1" applyFont="1" applyFill="1" applyBorder="1"/>
    <x:xf numFmtId="200" fontId="0" fillId="0" borderId="12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216E39"/>
      </x:font>
      <x:fill>
        <x:patternFill patternType="solid">
          <x:bgColor rgb="FFDD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974270efc4c45" /><Relationship Type="http://schemas.openxmlformats.org/officeDocument/2006/relationships/theme" Target="/xl/theme/theme1.xml" Id="R1ab65de29e8746ab" /><Relationship Type="http://schemas.openxmlformats.org/officeDocument/2006/relationships/sharedStrings" Target="/xl/sharedStrings.xml" Id="Rd47fd4cf20924951" /><Relationship Type="http://schemas.openxmlformats.org/officeDocument/2006/relationships/worksheet" Target="/xl/worksheets/sheet1.xml" Id="R906fe7b43ee44aed" /><Relationship Type="http://schemas.openxmlformats.org/officeDocument/2006/relationships/worksheet" Target="/xl/worksheets/sheet2.xml" Id="R659b28e768dd4879" /></Relationships>
</file>

<file path=xl/tables/table1.xml><?xml version="1.0" encoding="utf-8"?>
<x:table xmlns:x="http://schemas.openxmlformats.org/spreadsheetml/2006/main" id="1" name="RetrievalReviewTable" displayName="RetrievalReviewTable" ref="A1:J151" headerRowCount="1" totalsRowCount="0" totalsRowShown="0">
  <x:tableColumns count="10">
    <x:tableColumn id="1" name="ID"/>
    <x:tableColumn id="2" name="Sprache"/>
    <x:tableColumn id="3" name="Falltyp"/>
    <x:tableColumn id="4" name="Frage"/>
    <x:tableColumn id="5" name="Erwartete Ressourcen"/>
    <x:tableColumn id="6" name="Ressourcentitel"/>
    <x:tableColumn id="7" name="Publisher"/>
    <x:tableColumn id="8" name="Landingpages"/>
    <x:tableColumn id="9" name="Reviewstatus"/>
    <x:tableColumn id="10" name="Kom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9d10cd775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 ht="34" customHeight="1">
      <x:c r="A1" s="3" t="str">
        <x:v>Soriono – Review des Suchbenchmarks</x:v>
      </x:c>
      <x:c r="B1" s="3"/>
    </x:row>
    <x:row r="3">
      <x:c r="A3" s="8" t="str">
        <x:v>Zweck</x:v>
      </x:c>
      <x:c r="B3" s="9" t="str">
        <x:v>Alle 150 Fragen und erwarteten Ressourcen fachlich prüfen.</x:v>
      </x:c>
    </x:row>
    <x:row r="4">
      <x:c r="A4" s="10" t="str">
        <x:v>Vorgehen 1</x:v>
      </x:c>
      <x:c r="B4" s="11" t="str">
        <x:v>Frage und erwartete Ressourcen anhand von Titel, Publisher und Landingpage kontrollieren.</x:v>
      </x:c>
    </x:row>
    <x:row r="5">
      <x:c r="A5" s="10" t="str">
        <x:v>Vorgehen 2</x:v>
      </x:c>
      <x:c r="B5" s="11" t="str">
        <x:v>Reviewstatus auf Freigegeben setzen oder Frage/Ressourcen korrigieren und Korrigieren wählen.</x:v>
      </x:c>
    </x:row>
    <x:row r="6">
      <x:c r="A6" s="10" t="str">
        <x:v>Vorgehen 3</x:v>
      </x:c>
      <x:c r="B6" s="11" t="str">
        <x:v>Am Ende müssen alle 150 Zeilen Freigegeben sein.</x:v>
      </x:c>
    </x:row>
    <x:row r="7">
      <x:c r="A7" s="10" t="str">
        <x:v>Import</x:v>
      </x:c>
      <x:c r="B7" s="11" t="str">
        <x:v>Alle 150 Fälle wurden geprüft und in retrieval_goldset_150.json als freigegeben importiert.</x:v>
      </x:c>
    </x:row>
    <x:row r="8">
      <x:c r="A8" s="12" t="str">
        <x:v>Wichtig</x:v>
      </x:c>
      <x:c r="B8" s="13" t="str">
        <x:v>Der realistische Sprachbenchmark bleibt Release-Blocker: Recall@5 57,58 %, Recall@20 72,12 %.</x:v>
      </x:c>
    </x:row>
    <x:row r="10">
      <x:c r="A10" s="17" t="str">
        <x:v>Kennzahl</x:v>
      </x:c>
      <x:c r="B10" s="18" t="str">
        <x:v>Wert</x:v>
      </x:c>
    </x:row>
    <x:row r="11">
      <x:c r="A11" s="19" t="str">
        <x:v>Gesamt</x:v>
      </x:c>
      <x:c r="B11" s="20" t="n">
        <x:v>150</x:v>
      </x:c>
    </x:row>
    <x:row r="12">
      <x:c r="A12" s="19" t="str">
        <x:v>Freigegeben</x:v>
      </x:c>
      <x:c r="B12" s="20" t="n">
        <x:f>COUNTIF('Fragen'!I2:I151,"Freigegeben")</x:f>
        <x:v>150</x:v>
      </x:c>
    </x:row>
    <x:row r="13">
      <x:c r="A13" s="19" t="str">
        <x:v>Korrigieren</x:v>
      </x:c>
      <x:c r="B13" s="20" t="n">
        <x:f>COUNTIF('Fragen'!I2:I151,"Korrigieren")</x:f>
        <x:v>0</x:v>
      </x:c>
    </x:row>
    <x:row r="14">
      <x:c r="A14" s="21" t="str">
        <x:v>Offen</x:v>
      </x:c>
      <x:c r="B14" s="22" t="n">
        <x:f>COUNTIF('Fragen'!I2:I151,"Offen")</x:f>
        <x:v>0</x:v>
      </x:c>
    </x:row>
    <x:row r="15">
      <x:c r="A15" s="27" t="str">
        <x:v>Benchmark</x:v>
      </x:c>
      <x:c r="B15" s="27" t="str">
        <x:v>Ergebnis</x:v>
      </x:c>
    </x:row>
    <x:row r="16">
      <x:c r="A16" s="29" t="str">
        <x:v>Recall@5</x:v>
      </x:c>
      <x:c r="B16" s="30" t="n">
        <x:v>0.575758</x:v>
      </x:c>
    </x:row>
    <x:row r="17">
      <x:c r="A17" s="29" t="str">
        <x:v>Recall@20</x:v>
      </x:c>
      <x:c r="B17" s="30" t="n">
        <x:v>0.721212</x:v>
      </x:c>
    </x:row>
    <x:row r="18">
      <x:c r="A18" s="29" t="str">
        <x:v>Bewertung</x:v>
      </x:c>
      <x:c r="B18" s="32" t="str">
        <x:v>Nicht bestanden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55" hidden="0" customWidth="1"/>
    <x:col min="5" max="5" width="48" hidden="0" customWidth="1"/>
    <x:col min="6" max="6" width="48" hidden="0" customWidth="1"/>
    <x:col min="7" max="7" width="28" hidden="0" customWidth="1"/>
    <x:col min="8" max="8" width="55" hidden="0" customWidth="1"/>
    <x:col min="9" max="9" width="18" hidden="0" customWidth="1"/>
    <x:col min="10" max="10" width="40" hidden="0" customWidth="1"/>
  </x:cols>
  <x:sheetData>
    <x:row r="1" ht="30" customHeight="1">
      <x:c r="A1" s="23" t="str">
        <x:v>ID</x:v>
      </x:c>
      <x:c r="B1" s="23" t="str">
        <x:v>Sprache</x:v>
      </x:c>
      <x:c r="C1" s="23" t="str">
        <x:v>Falltyp</x:v>
      </x:c>
      <x:c r="D1" s="23" t="str">
        <x:v>Frage</x:v>
      </x:c>
      <x:c r="E1" s="23" t="str">
        <x:v>Erwartete Ressourcen</x:v>
      </x:c>
      <x:c r="F1" s="23" t="str">
        <x:v>Ressourcentitel</x:v>
      </x:c>
      <x:c r="G1" s="23" t="str">
        <x:v>Publisher</x:v>
      </x:c>
      <x:c r="H1" s="23" t="str">
        <x:v>Landingpages</x:v>
      </x:c>
      <x:c r="I1" s="23" t="str">
        <x:v>Reviewstatus</x:v>
      </x:c>
      <x:c r="J1" s="23" t="str">
        <x:v>Kommentar</x:v>
      </x:c>
    </x:row>
    <x:row r="2">
      <x:c r="A2" s="24" t="str">
        <x:v>q001_de_multi_source</x:v>
      </x:c>
      <x:c r="B2" s="24" t="str">
        <x:v>de</x:v>
      </x:c>
      <x:c r="C2" s="24" t="str">
        <x:v>multi_source</x:v>
      </x:c>
      <x:c r="D2" s="25" t="str">
        <x:v>Finde den Schweizer Datensatz: Demografische Bilanz nach Kanton; Geoparquet-Datei - Kommunale Wald-Baulinien</x:v>
      </x:c>
      <x:c r="E2" s="25" t="str">
        <x:v>bfs_pxweb:px-x-0102020000_101;ckan:kommunale-nutzungsplanung:43c9ff9e-8b1c-4799-9262-58b54a3d0d90</x:v>
      </x:c>
      <x:c r="F2" s="25" t="str">
        <x:v>Demografische Bilanz nach Kanton | Geoparquet-Datei - Kommunale Wald-Baulinien</x:v>
      </x:c>
      <x:c r="G2" s="25" t="str">
        <x:v>Bundesamt für Statistik / Bundesamtliche PxWeb-Statistik | amt-fuer-geoinformation-des-kantons-bern</x:v>
      </x:c>
      <x:c r="H2" s="25" t="str">
        <x:v> | https://opendata.swiss/de/dataset/kommunale-nutzungsplanung</x:v>
      </x:c>
      <x:c r="I2" s="25" t="str">
        <x:v>Freigegeben</x:v>
      </x:c>
      <x:c r="J2" s="25" t="str">
        <x:v>Manuell gegen Titel, Publisher, Katalogprofil, Einsatzbereitschaft und Eindeutigkeit geprüft.</x:v>
      </x:c>
    </x:row>
    <x:row r="3">
      <x:c r="A3" s="24" t="str">
        <x:v>q002_de_multi_source</x:v>
      </x:c>
      <x:c r="B3" s="24" t="str">
        <x:v>de</x:v>
      </x:c>
      <x:c r="C3" s="24" t="str">
        <x:v>multi_source</x:v>
      </x:c>
      <x:c r="D3" s="25" t="str">
        <x:v>Finde den Schweizer Datensatz: Alter des Strassenfahrzeugbestands nach Fahrzeuggruppe; Landwirtschaftliche Direktzahlungen des Kantons Thurgau</x:v>
      </x:c>
      <x:c r="E3" s="25" t="str">
        <x:v>ckan:alter-des-strassenfahrzeugbestands-nach-fahrzeuggruppe:33c658c0-ae99-467e-b47e-d2941a902098;ckan:landwirtschaftliche-direktzahlungen-des-kantons-thurgau:b0eb3a2a-af0d-421b-bf5d-8c674d7696b9</x:v>
      </x:c>
      <x:c r="F3" s="25" t="str">
        <x:v>Alter des Strassenfahrzeugbestands nach Fahrzeuggruppe | Landwirtschaftliche Direktzahlungen des Kantons Thurgau</x:v>
      </x:c>
      <x:c r="G3" s="25" t="str">
        <x:v>bundesamt-fur-statistik-bfs | kanton-thurgau</x:v>
      </x:c>
      <x:c r="H3" s="25" t="str">
        <x:v>https://opendata.swiss/de/dataset/alter-des-strassenfahrzeugbestands-nach-fahrzeuggruppe | https://opendata.swiss/de/dataset/landwirtschaftliche-direktzahlungen-des-kantons-thurgau</x:v>
      </x:c>
      <x:c r="I3" s="25" t="str">
        <x:v>Freigegeben</x:v>
      </x:c>
      <x:c r="J3" s="25" t="str">
        <x:v>Manuell gegen Titel, Publisher, Katalogprofil, Einsatzbereitschaft und Eindeutigkeit geprüft.</x:v>
      </x:c>
    </x:row>
    <x:row r="4">
      <x:c r="A4" s="24" t="str">
        <x:v>q003_de_multi_source</x:v>
      </x:c>
      <x:c r="B4" s="24" t="str">
        <x:v>de</x:v>
      </x:c>
      <x:c r="C4" s="24" t="str">
        <x:v>multi_source</x:v>
      </x:c>
      <x:c r="D4" s="25" t="str">
        <x:v>Finde den Schweizer Datensatz: Geoparquet-Datei - Artenhotspots; Lotteriefonds Kanton Thurgau: Zugesprochene Beiträge</x:v>
      </x:c>
      <x:c r="E4" s="25" t="str">
        <x:v>ckan:artenhotspots:c004d548-c4c9-4cf9-8905-e8c8b4cdc49f;ckan:lotteriefonds-kanton-thurgau-zugesprochene-beitrage:9bedaf81-22fe-461d-9498-a31b2a663d2b</x:v>
      </x:c>
      <x:c r="F4" s="25" t="str">
        <x:v>Geoparquet-Datei - Artenhotspots | Lotteriefonds Kanton Thurgau: Zugesprochene Beiträge</x:v>
      </x:c>
      <x:c r="G4" s="25" t="str">
        <x:v>amt-fuer-geoinformation-des-kantons-bern | kanton-thurgau</x:v>
      </x:c>
      <x:c r="H4" s="25" t="str">
        <x:v>https://opendata.swiss/de/dataset/artenhotspots | https://opendata.swiss/de/dataset/lotteriefonds-kanton-thurgau-zugesprochene-beitrage</x:v>
      </x:c>
      <x:c r="I4" s="25" t="str">
        <x:v>Freigegeben</x:v>
      </x:c>
      <x:c r="J4" s="25" t="str">
        <x:v>Manuell gegen Titel, Publisher, Katalogprofil, Einsatzbereitschaft und Eindeutigkeit geprüft.</x:v>
      </x:c>
    </x:row>
    <x:row r="5">
      <x:c r="A5" s="24" t="str">
        <x:v>q004_de_multi_source</x:v>
      </x:c>
      <x:c r="B5" s="24" t="str">
        <x:v>de</x:v>
      </x:c>
      <x:c r="C5" s="24" t="str">
        <x:v>multi_source</x:v>
      </x:c>
      <x:c r="D5" s="25" t="str">
        <x:v>Finde den Schweizer Datensatz: Begegnungszonen Stadt St.Gallen; Daten RSD-Messkampagne 2005</x:v>
      </x:c>
      <x:c r="E5" s="25" t="str">
        <x:v>ckan:begegnungszonen2:5778b432-043f-4b01-a56f-c7ad26e36846;ckan:messdaten-langjahriger-abgasmessungen-im-realen-fahrbetrieb-mittels-remote-sensing-rsd:dc1255fa-312c-4b5c-b4f3-99518943c1de</x:v>
      </x:c>
      <x:c r="F5" s="25" t="str">
        <x:v>Begegnungszonen Stadt St.Gallen | Daten RSD-Messkampagne 2005</x:v>
      </x:c>
      <x:c r="G5" s="25" t="str">
        <x:v>stadt-st-gallen | awel-kanton-zuerich</x:v>
      </x:c>
      <x:c r="H5" s="25" t="str">
        <x:v>https://opendata.swiss/de/dataset/begegnungszonen2 | https://opendata.swiss/de/dataset/messdaten-langjahriger-abgasmessungen-im-realen-fahrbetrieb-mittels-remote-sensing-rsd</x:v>
      </x:c>
      <x:c r="I5" s="25" t="str">
        <x:v>Freigegeben</x:v>
      </x:c>
      <x:c r="J5" s="25" t="str">
        <x:v>Manuell gegen Titel, Publisher, Katalogprofil, Einsatzbereitschaft und Eindeutigkeit geprüft.</x:v>
      </x:c>
    </x:row>
    <x:row r="6">
      <x:c r="A6" s="24" t="str">
        <x:v>q005_de_multi_source</x:v>
      </x:c>
      <x:c r="B6" s="24" t="str">
        <x:v>de</x:v>
      </x:c>
      <x:c r="C6" s="24" t="str">
        <x:v>multi_source</x:v>
      </x:c>
      <x:c r="D6" s="25" t="str">
        <x:v>Finde den Schweizer Datensatz: Bildungsabschlüsse höherer Berufsbildung; Précipitations mensuelles, dès 1959</x:v>
      </x:c>
      <x:c r="E6" s="25" t="str">
        <x:v>ckan:bildungsabschlusse-hoherer-berufsbildung:d5f06140-bf67-4fec-8de7-471f5228430a;ckan:niederschlagsmenge-ab-1959:87c0e890-cec0-466c-829e-9ce6803ba636</x:v>
      </x:c>
      <x:c r="F6" s="25" t="str">
        <x:v>Bildungsabschlüsse höherer Berufsbildung | Précipitations mensuelles, dès 1959</x:v>
      </x:c>
      <x:c r="G6" s="25" t="str">
        <x:v>kanton-zug | ssd</x:v>
      </x:c>
      <x:c r="H6" s="25" t="str">
        <x:v>https://opendata.swiss/de/dataset/bildungsabschlusse-hoherer-berufsbildung | https://opendata.swiss/de/dataset/niederschlagsmenge-ab-1959</x:v>
      </x:c>
      <x:c r="I6" s="25" t="str">
        <x:v>Freigegeben</x:v>
      </x:c>
      <x:c r="J6" s="25" t="str">
        <x:v>Manuell gegen Titel, Publisher, Katalogprofil, Einsatzbereitschaft und Eindeutigkeit geprüft.</x:v>
      </x:c>
    </x:row>
    <x:row r="7">
      <x:c r="A7" s="24" t="str">
        <x:v>q006_de_multi_source</x:v>
      </x:c>
      <x:c r="B7" s="24" t="str">
        <x:v>de</x:v>
      </x:c>
      <x:c r="C7" s="24" t="str">
        <x:v>multi_source</x:v>
      </x:c>
      <x:c r="D7" s="25" t="str">
        <x:v>Finde den Schweizer Datensatz: Produktegruppen Budget und Rechnung 2016; Ein- und Aussteigende an Bahnhöfen</x:v>
      </x:c>
      <x:c r="E7" s="25" t="str">
        <x:v>ckan:de-produktegruppen-budget-und-rechnung-2016:ba4d0e17-001a-47c7-9a20-63c8de13c0fe;ckan:passagierfrequenz1:fa502e9f-c6a8-4b33-82f8-4b0fe87ba683</x:v>
      </x:c>
      <x:c r="F7" s="25" t="str">
        <x:v>Produktegruppen Budget und Rechnung 2016 | Ein- und Aussteigende an Bahnhöfen</x:v>
      </x:c>
      <x:c r="G7" s="25" t="str">
        <x:v>Finanzverwaltung der Stadt Bern | schweizerische-bundesbahnen-sbb</x:v>
      </x:c>
      <x:c r="H7" s="25" t="str">
        <x:v>https://opendata.swiss/de/dataset/de-produktegruppen-budget-und-rechnung-2016 | https://opendata.swiss/de/dataset/passagierfrequenz1</x:v>
      </x:c>
      <x:c r="I7" s="25" t="str">
        <x:v>Freigegeben</x:v>
      </x:c>
      <x:c r="J7" s="25" t="str">
        <x:v>Manuell gegen Titel, Publisher, Katalogprofil, Einsatzbereitschaft und Eindeutigkeit geprüft.</x:v>
      </x:c>
    </x:row>
    <x:row r="8">
      <x:c r="A8" s="24" t="str">
        <x:v>q007_de_multi_source</x:v>
      </x:c>
      <x:c r="B8" s="24" t="str">
        <x:v>de</x:v>
      </x:c>
      <x:c r="C8" s="24" t="str">
        <x:v>multi_source</x:v>
      </x:c>
      <x:c r="D8" s="25" t="str">
        <x:v>Finde den Schweizer Datensatz: Volksabstimmung vom 30.11.2025– Eidgenössische Vorlagen; Gemeinderesultate der Regierungsratswahl 2014</x:v>
      </x:c>
      <x:c r="E8" s="25" t="str">
        <x:v>ckan:echtzeitdaten-am-abstimmungstag-zu-eidgenoessischen-abstimmungsvorlagen:ad164682-9a99-478b-b3d8-4a2a2a8da8cb;ckan:regierungsratswahlen-im-kanton-bern:38a60c76-abb8-4b29-bf95-06650129bf12</x:v>
      </x:c>
      <x:c r="F8" s="25" t="str">
        <x:v>Volksabstimmung vom 30.11.2025– Eidgenössische Vorlagen | Gemeinderesultate der Regierungsratswahl 2014</x:v>
      </x:c>
      <x:c r="G8" s="25" t="str">
        <x:v>bundesamt-fur-statistik-bfs | kanton-bern-2</x:v>
      </x:c>
      <x:c r="H8" s="25" t="str">
        <x:v>https://opendata.swiss/de/dataset/echtzeitdaten-am-abstimmungstag-zu-eidgenoessischen-abstimmungsvorlagen | https://opendata.swiss/de/dataset/regierungsratswahlen-im-kanton-bern</x:v>
      </x:c>
      <x:c r="I8" s="25" t="str">
        <x:v>Freigegeben</x:v>
      </x:c>
      <x:c r="J8" s="25" t="str">
        <x:v>Manuell gegen Titel, Publisher, Katalogprofil, Einsatzbereitschaft und Eindeutigkeit geprüft.</x:v>
      </x:c>
    </x:row>
    <x:row r="9">
      <x:c r="A9" s="24" t="str">
        <x:v>q008_de_multi_source</x:v>
      </x:c>
      <x:c r="B9" s="24" t="str">
        <x:v>de</x:v>
      </x:c>
      <x:c r="C9" s="24" t="str">
        <x:v>multi_source</x:v>
      </x:c>
      <x:c r="D9" s="25" t="str">
        <x:v>Finde den Schweizer Datensatz: Volksabstimmung vom 27.02.1983– Eidgenössische Vorlagen; Geoparquet-Datei - Umsetzungsperimeter Auengebiete (Mitwirkung)</x:v>
      </x:c>
      <x:c r="E9" s="25" t="str">
        <x:v>ckan:echtzeitdaten-zu-den-eidgenossischen-abstimmungen-gemeindestand-am-datum-der-abstimmung:e95e1ed2-2b15-4950-a5cf-a92c7b939684;ckan:sachplan-biodiversitat-mitwirkungsverfahren:b84929f0-c240-4a58-b1b0-1f4457fd3710</x:v>
      </x:c>
      <x:c r="F9" s="25" t="str">
        <x:v>Volksabstimmung vom 27.02.1983– Eidgenössische Vorlagen | Geoparquet-Datei - Umsetzungsperimeter Auengebiete (Mitwirkung)</x:v>
      </x:c>
      <x:c r="G9" s="25" t="str">
        <x:v>bundesamt-fur-statistik-bfs | amt-fuer-geoinformation-des-kantons-bern</x:v>
      </x:c>
      <x:c r="H9" s="25" t="str">
        <x:v>https://opendata.swiss/de/dataset/echtzeitdaten-zu-den-eidgenossischen-abstimmungen-gemeindestand-am-datum-der-abstimmung | https://opendata.swiss/de/dataset/sachplan-biodiversitat-mitwirkungsverfahren</x:v>
      </x:c>
      <x:c r="I9" s="25" t="str">
        <x:v>Freigegeben</x:v>
      </x:c>
      <x:c r="J9" s="25" t="str">
        <x:v>Manuell gegen Titel, Publisher, Katalogprofil, Einsatzbereitschaft und Eindeutigkeit geprüft.</x:v>
      </x:c>
    </x:row>
    <x:row r="10">
      <x:c r="A10" s="24" t="str">
        <x:v>q009_de_multi_source</x:v>
      </x:c>
      <x:c r="B10" s="24" t="str">
        <x:v>de</x:v>
      </x:c>
      <x:c r="C10" s="24" t="str">
        <x:v>multi_source</x:v>
      </x:c>
      <x:c r="D10" s="25" t="str">
        <x:v>Finde den Schweizer Datensatz: Geoparquet-Datei - Entwicklungsschwerpunkte, Perimeter; Geoparquet-Datei - Hauptnutzniessende des Schutzwaldes</x:v>
      </x:c>
      <x:c r="E10" s="25" t="str">
        <x:v>ckan:entwicklungsschwerpunkte:b02cf8a5-91e0-4cc4-aa02-c06682a1b3e9;ckan:schutzwaldhinweiskarte:48bdb346-9527-4a96-814d-6ad0efda8b5b</x:v>
      </x:c>
      <x:c r="F10" s="25" t="str">
        <x:v>Geoparquet-Datei - Entwicklungsschwerpunkte, Perimeter | Geoparquet-Datei - Hauptnutzniessende des Schutzwaldes</x:v>
      </x:c>
      <x:c r="G10" s="25" t="str">
        <x:v>amt-fuer-geoinformation-des-kantons-bern | amt-fuer-geoinformation-des-kantons-bern</x:v>
      </x:c>
      <x:c r="H10" s="25" t="str">
        <x:v>https://opendata.swiss/de/dataset/entwicklungsschwerpunkte | https://opendata.swiss/de/dataset/schutzwaldhinweiskarte</x:v>
      </x:c>
      <x:c r="I10" s="25" t="str">
        <x:v>Freigegeben</x:v>
      </x:c>
      <x:c r="J10" s="25" t="str">
        <x:v>Manuell gegen Titel, Publisher, Katalogprofil, Einsatzbereitschaft und Eindeutigkeit geprüft.</x:v>
      </x:c>
    </x:row>
    <x:row r="11">
      <x:c r="A11" s="24" t="str">
        <x:v>q010_de_multi_source</x:v>
      </x:c>
      <x:c r="B11" s="24" t="str">
        <x:v>de</x:v>
      </x:c>
      <x:c r="C11" s="24" t="str">
        <x:v>multi_source</x:v>
      </x:c>
      <x:c r="D11" s="25" t="str">
        <x:v>Finde den Schweizer Datensatz: Fahrzeugbestand Kanton Thurgau am 01.01.2024; Sport- und Bewegungsanlagen</x:v>
      </x:c>
      <x:c r="E11" s="25" t="str">
        <x:v>ckan:fahrzeugbestand-kanton-thurgau-am-01-01-2024:1804f2b1-3274-4a70-9c17-e2edd6a6a4ed;ckan:sport-und-bewegungsanlagen:251c2a7b-e930-48ed-8f2e-7799012d0722</x:v>
      </x:c>
      <x:c r="F11" s="25" t="str">
        <x:v>Fahrzeugbestand Kanton Thurgau am 01.01.2024 | Sport- und Bewegungsanlagen</x:v>
      </x:c>
      <x:c r="G11" s="25" t="str">
        <x:v>kanton-thurgau | kanton-basel-stadt</x:v>
      </x:c>
      <x:c r="H11" s="25" t="str">
        <x:v>https://opendata.swiss/de/dataset/fahrzeugbestand-kanton-thurgau-am-01-01-2024 | https://opendata.swiss/de/dataset/sport-und-bewegungsanlagen</x:v>
      </x:c>
      <x:c r="I11" s="25" t="str">
        <x:v>Freigegeben</x:v>
      </x:c>
      <x:c r="J11" s="25" t="str">
        <x:v>Manuell gegen Titel, Publisher, Katalogprofil, Einsatzbereitschaft und Eindeutigkeit geprüft.</x:v>
      </x:c>
    </x:row>
    <x:row r="12">
      <x:c r="A12" s="24" t="str">
        <x:v>q011_de_multi_source</x:v>
      </x:c>
      <x:c r="B12" s="24" t="str">
        <x:v>de</x:v>
      </x:c>
      <x:c r="C12" s="24" t="str">
        <x:v>multi_source</x:v>
      </x:c>
      <x:c r="D12" s="25" t="str">
        <x:v>Finde den Schweizer Datensatz: Füllstandsensoren Glassammelstellen (Weissglas) Stadt St.Gallen; Bevölkerungsbilanz 2019</x:v>
      </x:c>
      <x:c r="E12" s="25" t="str">
        <x:v>ckan:fullstandsensoren-glassammelstellen-weissglas:fd4c7cda-968b-406c-906c-e6a7cd893e53;ckan:statistik-der-schweizer-staedte-2021:bf00caed-0145-4665-b035-c773c622996b</x:v>
      </x:c>
      <x:c r="F12" s="25" t="str">
        <x:v>Füllstandsensoren Glassammelstellen (Weissglas) Stadt St.Gallen | Bevölkerungsbilanz 2019</x:v>
      </x:c>
      <x:c r="G12" s="25" t="str">
        <x:v>stadt-st-gallen | bundesamt-fur-statistik-bfs</x:v>
      </x:c>
      <x:c r="H12" s="25" t="str">
        <x:v>https://opendata.swiss/de/dataset/fullstandsensoren-glassammelstellen-weissglas | https://opendata.swiss/de/dataset/statistik-der-schweizer-staedte-2021</x:v>
      </x:c>
      <x:c r="I12" s="25" t="str">
        <x:v>Freigegeben</x:v>
      </x:c>
      <x:c r="J12" s="25" t="str">
        <x:v>Manuell gegen Titel, Publisher, Katalogprofil, Einsatzbereitschaft und Eindeutigkeit geprüft.</x:v>
      </x:c>
    </x:row>
    <x:row r="13">
      <x:c r="A13" s="24" t="str">
        <x:v>q012_de_multi_source</x:v>
      </x:c>
      <x:c r="B13" s="24" t="str">
        <x:v>de</x:v>
      </x:c>
      <x:c r="C13" s="24" t="str">
        <x:v>multi_source</x:v>
      </x:c>
      <x:c r="D13" s="25" t="str">
        <x:v>Finde den Schweizer Datensatz: Gesammelte PET-Einwegflaschen im Kanton Basel-Stadt; bisherige Entwicklung Grundbildung</x:v>
      </x:c>
      <x:c r="E13" s="25" t="str">
        <x:v>ckan:gesammelte-pet-einwegflaschen-im-kanton-basel-stadt:230d509d-dd4b-43df-b9e6-4ae207122321;ckan:szenarien-fur-die-entwicklung-der-anzahl-schulerinnen-und-schuler-in-beruflicher-grundbildung:f03909f4-5b0a-490b-a549-e9dc0c6a5a22</x:v>
      </x:c>
      <x:c r="F13" s="25" t="str">
        <x:v>Gesammelte PET-Einwegflaschen im Kanton Basel-Stadt | bisherige Entwicklung Grundbildung</x:v>
      </x:c>
      <x:c r="G13" s="25" t="str">
        <x:v>kanton-basel-stadt | kanton-zug</x:v>
      </x:c>
      <x:c r="H13" s="25" t="str">
        <x:v>https://opendata.swiss/de/dataset/gesammelte-pet-einwegflaschen-im-kanton-basel-stadt | https://opendata.swiss/de/dataset/szenarien-fur-die-entwicklung-der-anzahl-schulerinnen-und-schuler-in-beruflicher-grundbildung</x:v>
      </x:c>
      <x:c r="I13" s="25" t="str">
        <x:v>Freigegeben</x:v>
      </x:c>
      <x:c r="J13" s="25" t="str">
        <x:v>Manuell gegen Titel, Publisher, Katalogprofil, Einsatzbereitschaft und Eindeutigkeit geprüft.</x:v>
      </x:c>
    </x:row>
    <x:row r="14">
      <x:c r="A14" s="24" t="str">
        <x:v>q013_de_multi_source</x:v>
      </x:c>
      <x:c r="B14" s="24" t="str">
        <x:v>de</x:v>
      </x:c>
      <x:c r="C14" s="24" t="str">
        <x:v>multi_source</x:v>
      </x:c>
      <x:c r="D14" s="25" t="str">
        <x:v>Finde den Schweizer Datensatz: Geoparquet-Datei - Dienststellen der Grundbuchämter; Unterflurbehälter Stadt St.Gallen</x:v>
      </x:c>
      <x:c r="E14" s="25" t="str">
        <x:v>ckan:grundbuchamter:97d9ee73-155e-49c2-af20-497e7cf5a79b;ckan:unterflurbehalter:8d9ea168-af70-44a9-a919-1e6f5e405dd4</x:v>
      </x:c>
      <x:c r="F14" s="25" t="str">
        <x:v>Geoparquet-Datei - Dienststellen der Grundbuchämter | Unterflurbehälter Stadt St.Gallen</x:v>
      </x:c>
      <x:c r="G14" s="25" t="str">
        <x:v>amt-fuer-geoinformation-des-kantons-bern | stadt-st-gallen</x:v>
      </x:c>
      <x:c r="H14" s="25" t="str">
        <x:v>https://opendata.swiss/de/dataset/grundbuchamter | https://opendata.swiss/de/dataset/unterflurbehalter</x:v>
      </x:c>
      <x:c r="I14" s="25" t="str">
        <x:v>Freigegeben</x:v>
      </x:c>
      <x:c r="J14" s="25" t="str">
        <x:v>Manuell gegen Titel, Publisher, Katalogprofil, Einsatzbereitschaft und Eindeutigkeit geprüft.</x:v>
      </x:c>
    </x:row>
    <x:row r="15">
      <x:c r="A15" s="24" t="str">
        <x:v>q014_de_multi_source</x:v>
      </x:c>
      <x:c r="B15" s="24" t="str">
        <x:v>de</x:v>
      </x:c>
      <x:c r="C15" s="24" t="str">
        <x:v>multi_source</x:v>
      </x:c>
      <x:c r="D15" s="25" t="str">
        <x:v>Finde den Schweizer Datensatz: Hydrometrie Thurgau - Wassertemperatur (°C); Gemeindeinformationen Erneuerungswahl Kantonsrat 2007</x:v>
      </x:c>
      <x:c r="E15" s="25" t="str">
        <x:v>ckan:hydrometrie-thurgau-wassertemperatur-c:78158dd4-3429-4244-b954-3b2eb61e65f3;ckan:wahlarchiv-kantonsratswahlen:be58757f-495e-49fb-b634-43b16cc504e0</x:v>
      </x:c>
      <x:c r="F15" s="25" t="str">
        <x:v>Hydrometrie Thurgau - Wassertemperatur (°C) | Gemeindeinformationen Erneuerungswahl Kantonsrat 2007</x:v>
      </x:c>
      <x:c r="G15" s="25" t="str">
        <x:v>Kanton Thurgau | statistisches-amt-kanton-zuerich</x:v>
      </x:c>
      <x:c r="H15" s="25" t="str">
        <x:v>https://opendata.swiss/de/dataset/hydrometrie-thurgau-wassertemperatur-c | https://opendata.swiss/de/dataset/wahlarchiv-kantonsratswahlen</x:v>
      </x:c>
      <x:c r="I15" s="25" t="str">
        <x:v>Freigegeben</x:v>
      </x:c>
      <x:c r="J15" s="25" t="str">
        <x:v>Manuell gegen Titel, Publisher, Katalogprofil, Einsatzbereitschaft und Eindeutigkeit geprüft.</x:v>
      </x:c>
    </x:row>
    <x:row r="16">
      <x:c r="A16" s="24" t="str">
        <x:v>q015_de_multi_source</x:v>
      </x:c>
      <x:c r="B16" s="24" t="str">
        <x:v>de</x:v>
      </x:c>
      <x:c r="C16" s="24" t="str">
        <x:v>multi_source</x:v>
      </x:c>
      <x:c r="D16" s="25" t="str">
        <x:v>Finde den Schweizer Datensatz: Kanton Wallis: Haushalte und Familien; Wind crust formation: SnowMicroPen data</x:v>
      </x:c>
      <x:c r="E16" s="25" t="str">
        <x:v>ckan:kanton-wallis-haushalte-und-familien:581d2930-3d8d-45c3-9017-827d16713d25;ckan:wind-crust-formation-snowmicropen-data:bf2d76b2-5cf1-4e6c-be97-91f6edf4be0b</x:v>
      </x:c>
      <x:c r="F16" s="25" t="str">
        <x:v>Kanton Wallis: Haushalte und Familien | Wind crust formation: SnowMicroPen data</x:v>
      </x:c>
      <x:c r="G16" s="25" t="str">
        <x:v>bundesamt-fur-statistik-bfs | envidat</x:v>
      </x:c>
      <x:c r="H16" s="25" t="str">
        <x:v>https://opendata.swiss/de/dataset/kanton-wallis-haushalte-und-familien | https://opendata.swiss/de/dataset/wind-crust-formation-snowmicropen-data</x:v>
      </x:c>
      <x:c r="I16" s="25" t="str">
        <x:v>Freigegeben</x:v>
      </x:c>
      <x:c r="J16" s="25" t="str">
        <x:v>Manuell gegen Titel, Publisher, Katalogprofil, Einsatzbereitschaft und Eindeutigkeit geprüft.</x:v>
      </x:c>
    </x:row>
    <x:row r="17">
      <x:c r="A17" s="24" t="str">
        <x:v>q016_de_direct</x:v>
      </x:c>
      <x:c r="B17" s="24" t="str">
        <x:v>de</x:v>
      </x:c>
      <x:c r="C17" s="24" t="str">
        <x:v>direct</x:v>
      </x:c>
      <x:c r="D17" s="25" t="str">
        <x:v>Finde den Schweizer Datensatz: Ständige und nichtständige Wohnbevölkerung nach Jahr, Kanton, Bevölkerungstyp, Geschlecht, Zivilstand und Alter</x:v>
      </x:c>
      <x:c r="E17" s="25" t="str">
        <x:v>bfs_pxweb:px-x-0102010000_102</x:v>
      </x:c>
      <x:c r="F17" s="25" t="str">
        <x:v>Ständige und nichtständige Wohnbevölkerung nach Jahr, Kanton, Bevölkerungstyp, Geschlecht, Zivilstand und Alter</x:v>
      </x:c>
      <x:c r="G17" s="25" t="str">
        <x:v>Bundesamt für Statistik / Bundesamtliche PxWeb-Statistik</x:v>
      </x:c>
      <x:c r="H17" s="25"/>
      <x:c r="I17" s="25" t="str">
        <x:v>Freigegeben</x:v>
      </x:c>
      <x:c r="J17" s="25" t="str">
        <x:v>Manuell gegen Titel, Publisher, Katalogprofil, Einsatzbereitschaft und Eindeutigkeit geprüft.</x:v>
      </x:c>
    </x:row>
    <x:row r="18">
      <x:c r="A18" s="24" t="str">
        <x:v>q017_de_direct</x:v>
      </x:c>
      <x:c r="B18" s="24" t="str">
        <x:v>de</x:v>
      </x:c>
      <x:c r="C18" s="24" t="str">
        <x:v>direct</x:v>
      </x:c>
      <x:c r="D18" s="25" t="str">
        <x:v>Finde den Schweizer Datensatz: Wohnungen nach Kanton, Anzahl Zimmer, Bauperiode, Renovationsperiode und Jahr</x:v>
      </x:c>
      <x:c r="E18" s="25" t="str">
        <x:v>bfs_pxweb:px-x-0902020100_141</x:v>
      </x:c>
      <x:c r="F18" s="25" t="str">
        <x:v>Wohnungen nach Kanton, Anzahl Zimmer, Bauperiode, Renovationsperiode und Jahr</x:v>
      </x:c>
      <x:c r="G18" s="25" t="str">
        <x:v>Bundesamt für Statistik / Bundesamtliche PxWeb-Statistik</x:v>
      </x:c>
      <x:c r="H18" s="25"/>
      <x:c r="I18" s="25" t="str">
        <x:v>Freigegeben</x:v>
      </x:c>
      <x:c r="J18" s="25" t="str">
        <x:v>Manuell gegen Titel, Publisher, Katalogprofil, Einsatzbereitschaft und Eindeutigkeit geprüft.</x:v>
      </x:c>
    </x:row>
    <x:row r="19">
      <x:c r="A19" s="24" t="str">
        <x:v>q018_de_direct</x:v>
      </x:c>
      <x:c r="B19" s="24" t="str">
        <x:v>de</x:v>
      </x:c>
      <x:c r="C19" s="24" t="str">
        <x:v>direct</x:v>
      </x:c>
      <x:c r="D19" s="25" t="str">
        <x:v>Finde den Schweizer Datensatz: Studierende an den Fachhochschulen und pädagogischen Hochschulen nach Jahr, Wohnkanton vor Studienbeginn und Hochschule</x:v>
      </x:c>
      <x:c r="E19" s="25" t="str">
        <x:v>bfs_pxweb:px-x-1502040400_140</x:v>
      </x:c>
      <x:c r="F19" s="25" t="str">
        <x:v>Studierende an den Fachhochschulen und pädagogischen Hochschulen nach Jahr, Wohnkanton vor Studienbeginn und Hochschule</x:v>
      </x:c>
      <x:c r="G19" s="25" t="str">
        <x:v>Bundesamt für Statistik / Bundesamtliche PxWeb-Statistik</x:v>
      </x:c>
      <x:c r="H19" s="25"/>
      <x:c r="I19" s="25" t="str">
        <x:v>Freigegeben</x:v>
      </x:c>
      <x:c r="J19" s="25" t="str">
        <x:v>Manuell gegen Titel, Publisher, Katalogprofil, Einsatzbereitschaft und Eindeutigkeit geprüft.</x:v>
      </x:c>
    </x:row>
    <x:row r="20">
      <x:c r="A20" s="24" t="str">
        <x:v>q019_de_direct</x:v>
      </x:c>
      <x:c r="B20" s="24" t="str">
        <x:v>de</x:v>
      </x:c>
      <x:c r="C20" s="24" t="str">
        <x:v>direct</x:v>
      </x:c>
      <x:c r="D20" s="25" t="str">
        <x:v>Finde den Schweizer Datensatz: Grenzüberschreitender City Statistics: Mobilität, Tourismus (Agglomerationen 2012)</x:v>
      </x:c>
      <x:c r="E20" s="25" t="str">
        <x:v>bfs_pxweb:px-x-2105000000_216</x:v>
      </x:c>
      <x:c r="F20" s="25" t="str">
        <x:v>Grenzüberschreitender City Statistics: Mobilität, Tourismus (Agglomerationen 2012)</x:v>
      </x:c>
      <x:c r="G20" s="25" t="str">
        <x:v>Bundesamt für Statistik / Bundesamtliche PxWeb-Statistik</x:v>
      </x:c>
      <x:c r="H20" s="25"/>
      <x:c r="I20" s="25" t="str">
        <x:v>Freigegeben</x:v>
      </x:c>
      <x:c r="J20" s="25" t="str">
        <x:v>Manuell gegen Titel, Publisher, Katalogprofil, Einsatzbereitschaft und Eindeutigkeit geprüft.</x:v>
      </x:c>
    </x:row>
    <x:row r="21">
      <x:c r="A21" s="24" t="str">
        <x:v>q020_de_direct</x:v>
      </x:c>
      <x:c r="B21" s="24" t="str">
        <x:v>de</x:v>
      </x:c>
      <x:c r="C21" s="24" t="str">
        <x:v>direct</x:v>
      </x:c>
      <x:c r="D21" s="25" t="str">
        <x:v>Finde den Schweizer Datensatz: Abstimmungen Details</x:v>
      </x:c>
      <x:c r="E21" s="25" t="str">
        <x:v>ckan:abstimmungen-details:a83616a3-1535-42cc-b9bb-9db2a1dafa0e</x:v>
      </x:c>
      <x:c r="F21" s="25" t="str">
        <x:v>Abstimmungen Details</x:v>
      </x:c>
      <x:c r="G21" s="25" t="str">
        <x:v>Kanton Basel-Stadt</x:v>
      </x:c>
      <x:c r="H21" s="25" t="str">
        <x:v>https://opendata.swiss/de/dataset/abstimmungen-details</x:v>
      </x:c>
      <x:c r="I21" s="25" t="str">
        <x:v>Freigegeben</x:v>
      </x:c>
      <x:c r="J21" s="25" t="str">
        <x:v>Manuell gegen Titel, Publisher, Katalogprofil, Einsatzbereitschaft und Eindeutigkeit geprüft.</x:v>
      </x:c>
    </x:row>
    <x:row r="22">
      <x:c r="A22" s="24" t="str">
        <x:v>q021_de_direct</x:v>
      </x:c>
      <x:c r="B22" s="24" t="str">
        <x:v>de</x:v>
      </x:c>
      <x:c r="C22" s="24" t="str">
        <x:v>direct</x:v>
      </x:c>
      <x:c r="D22" s="25" t="str">
        <x:v>Finde den Schweizer Datensatz: Agrarumweltindikatoren und -kennzahlen auf nationaler Ebene 1990-2015</x:v>
      </x:c>
      <x:c r="E22" s="25" t="str">
        <x:v>ckan:agrarumweltindikatoren-und-kennzahlen-auf-nationaler-ebene-1990-2015:f750dbf4-f317-4e1d-b64e-582171901e47</x:v>
      </x:c>
      <x:c r="F22" s="25" t="str">
        <x:v>Agrarumweltindikatoren und -kennzahlen auf nationaler Ebene 1990-2015</x:v>
      </x:c>
      <x:c r="G22" s="25" t="str">
        <x:v>bundesamt-fur-landwirtschaft-blw</x:v>
      </x:c>
      <x:c r="H22" s="25" t="str">
        <x:v>https://opendata.swiss/de/dataset/agrarumweltindikatoren-und-kennzahlen-auf-nationaler-ebene-1990-2015</x:v>
      </x:c>
      <x:c r="I22" s="25" t="str">
        <x:v>Freigegeben</x:v>
      </x:c>
      <x:c r="J22" s="25" t="str">
        <x:v>Manuell gegen Titel, Publisher, Katalogprofil, Einsatzbereitschaft und Eindeutigkeit geprüft.</x:v>
      </x:c>
    </x:row>
    <x:row r="23">
      <x:c r="A23" s="24" t="str">
        <x:v>q022_de_direct</x:v>
      </x:c>
      <x:c r="B23" s="24" t="str">
        <x:v>de</x:v>
      </x:c>
      <x:c r="C23" s="24" t="str">
        <x:v>direct</x:v>
      </x:c>
      <x:c r="D23" s="25" t="str">
        <x:v>Finde den Schweizer Datensatz: Allmendbewilligungen</x:v>
      </x:c>
      <x:c r="E23" s="25" t="str">
        <x:v>ckan:allmendbewilligungen:90de1b88-15b4-46a5-9746-bf0c51468f26</x:v>
      </x:c>
      <x:c r="F23" s="25" t="str">
        <x:v>Allmendbewilligungen</x:v>
      </x:c>
      <x:c r="G23" s="25" t="str">
        <x:v>kanton-basel-stadt</x:v>
      </x:c>
      <x:c r="H23" s="25" t="str">
        <x:v>https://opendata.swiss/de/dataset/allmendbewilligungen</x:v>
      </x:c>
      <x:c r="I23" s="25" t="str">
        <x:v>Freigegeben</x:v>
      </x:c>
      <x:c r="J23" s="25" t="str">
        <x:v>Manuell gegen Titel, Publisher, Katalogprofil, Einsatzbereitschaft und Eindeutigkeit geprüft.</x:v>
      </x:c>
    </x:row>
    <x:row r="24">
      <x:c r="A24" s="24" t="str">
        <x:v>q023_de_direct</x:v>
      </x:c>
      <x:c r="B24" s="24" t="str">
        <x:v>de</x:v>
      </x:c>
      <x:c r="C24" s="24" t="str">
        <x:v>direct</x:v>
      </x:c>
      <x:c r="D24" s="25" t="str">
        <x:v>Finde den Schweizer Datensatz: anderung-der-kantonsverfassung-anpassung-an-das-erwachsenenschutzrecht.json</x:v>
      </x:c>
      <x:c r="E24" s="25" t="str">
        <x:v>ckan:anderung-der-kantonsverfassung-anpassung-an-das-erwachsenenschutzrecht:52aa1147-e8de-403e-949f-7bddd2a149a2</x:v>
      </x:c>
      <x:c r="F24" s="25" t="str">
        <x:v>anderung-der-kantonsverfassung-anpassung-an-das-erwachsenenschutzrecht.json</x:v>
      </x:c>
      <x:c r="G24" s="25" t="str">
        <x:v>staatskanzlei-zug</x:v>
      </x:c>
      <x:c r="H24" s="25" t="str">
        <x:v>https://opendata.swiss/de/dataset/anderung-der-kantonsverfassung-anpassung-an-das-erwachsenenschutzrecht</x:v>
      </x:c>
      <x:c r="I24" s="25" t="str">
        <x:v>Freigegeben</x:v>
      </x:c>
      <x:c r="J24" s="25" t="str">
        <x:v>Manuell gegen Titel, Publisher, Katalogprofil, Einsatzbereitschaft und Eindeutigkeit geprüft.</x:v>
      </x:c>
    </x:row>
    <x:row r="25">
      <x:c r="A25" s="24" t="str">
        <x:v>q024_de_direct</x:v>
      </x:c>
      <x:c r="B25" s="24" t="str">
        <x:v>de</x:v>
      </x:c>
      <x:c r="C25" s="24" t="str">
        <x:v>direct</x:v>
      </x:c>
      <x:c r="D25" s="25" t="str">
        <x:v>Finde den Schweizer Datensatz: anderung-vom-18-dezember-2020-des-schweizerischen-zivilgesetzbuches-ehe-fuer-alle.json</x:v>
      </x:c>
      <x:c r="E25" s="25" t="str">
        <x:v>ckan:anderung-vom-18-dezember-2020-des-schweizerischen-zivilgesetzbuches-ehe-fur-alle1:0f9a780d-0870-44de-94cb-14a29453ba74</x:v>
      </x:c>
      <x:c r="F25" s="25" t="str">
        <x:v>anderung-vom-18-dezember-2020-des-schweizerischen-zivilgesetzbuches-ehe-fuer-alle.json</x:v>
      </x:c>
      <x:c r="G25" s="25" t="str">
        <x:v>kanton-basel-landschaft</x:v>
      </x:c>
      <x:c r="H25" s="25" t="str">
        <x:v>https://opendata.swiss/de/dataset/anderung-vom-18-dezember-2020-des-schweizerischen-zivilgesetzbuches-ehe-fur-alle1</x:v>
      </x:c>
      <x:c r="I25" s="25" t="str">
        <x:v>Freigegeben</x:v>
      </x:c>
      <x:c r="J25" s="25" t="str">
        <x:v>Manuell gegen Titel, Publisher, Katalogprofil, Einsatzbereitschaft und Eindeutigkeit geprüft.</x:v>
      </x:c>
    </x:row>
    <x:row r="26">
      <x:c r="A26" s="24" t="str">
        <x:v>q025_de_direct</x:v>
      </x:c>
      <x:c r="B26" s="24" t="str">
        <x:v>de</x:v>
      </x:c>
      <x:c r="C26" s="24" t="str">
        <x:v>direct</x:v>
      </x:c>
      <x:c r="D26" s="25" t="str">
        <x:v>Finde den Schweizer Datensatz: Anstaltstopografie 1965: Anstaltsverzeichnis</x:v>
      </x:c>
      <x:c r="E26" s="25" t="str">
        <x:v>ckan:anstaltstopografie:63612f5b-c805-468c-b051-5868258b7c54</x:v>
      </x:c>
      <x:c r="F26" s="25" t="str">
        <x:v>Anstaltstopografie 1965: Anstaltsverzeichnis</x:v>
      </x:c>
      <x:c r="G26" s="25" t="str">
        <x:v>unabhangige-expertenkommission-uek-administrative-versorgungen</x:v>
      </x:c>
      <x:c r="H26" s="25" t="str">
        <x:v>https://opendata.swiss/de/dataset/anstaltstopografie</x:v>
      </x:c>
      <x:c r="I26" s="25" t="str">
        <x:v>Freigegeben</x:v>
      </x:c>
      <x:c r="J26" s="25" t="str">
        <x:v>Manuell gegen Titel, Publisher, Katalogprofil, Einsatzbereitschaft und Eindeutigkeit geprüft.</x:v>
      </x:c>
    </x:row>
    <x:row r="27">
      <x:c r="A27" s="24" t="str">
        <x:v>q026_de_direct</x:v>
      </x:c>
      <x:c r="B27" s="24" t="str">
        <x:v>de</x:v>
      </x:c>
      <x:c r="C27" s="24" t="str">
        <x:v>direct</x:v>
      </x:c>
      <x:c r="D27" s="25" t="str">
        <x:v>Finde den Schweizer Datensatz: Anzahl registrierter Hundebesitzer seit 2018</x:v>
      </x:c>
      <x:c r="E27" s="25" t="str">
        <x:v>ckan:anzahl-registrierte-hundebesitzer-seit-2018:a5da5408-c3b9-4a19-a4d1-93cc96cdbaf8</x:v>
      </x:c>
      <x:c r="F27" s="25" t="str">
        <x:v>Anzahl registrierter Hundebesitzer seit 2018</x:v>
      </x:c>
      <x:c r="G27" s="25" t="str">
        <x:v>Kanton Basel-Stadt</x:v>
      </x:c>
      <x:c r="H27" s="25" t="str">
        <x:v>https://opendata.swiss/de/dataset/anzahl-registrierte-hundebesitzer-seit-2018</x:v>
      </x:c>
      <x:c r="I27" s="25" t="str">
        <x:v>Freigegeben</x:v>
      </x:c>
      <x:c r="J27" s="25" t="str">
        <x:v>Manuell gegen Titel, Publisher, Katalogprofil, Einsatzbereitschaft und Eindeutigkeit geprüft.</x:v>
      </x:c>
    </x:row>
    <x:row r="28">
      <x:c r="A28" s="24" t="str">
        <x:v>q027_de_direct</x:v>
      </x:c>
      <x:c r="B28" s="24" t="str">
        <x:v>de</x:v>
      </x:c>
      <x:c r="C28" s="24" t="str">
        <x:v>direct</x:v>
      </x:c>
      <x:c r="D28" s="25" t="str">
        <x:v>Finde den Schweizer Datensatz: Produttività del lavoro per rami di attività a prezzi correnti (64 rami)</x:v>
      </x:c>
      <x:c r="E28" s="25" t="str">
        <x:v>ckan:arbeitsproduktivitat-nach-branchen-zu-laufenden-preisen-64-branchen:9851a5a8-ffc9-4ca2-994f-3361c4dbddc7</x:v>
      </x:c>
      <x:c r="F28" s="25" t="str">
        <x:v>Produttività del lavoro per rami di attività a prezzi correnti (64 rami)</x:v>
      </x:c>
      <x:c r="G28" s="25" t="str">
        <x:v>bundesamt-fur-statistik-bfs</x:v>
      </x:c>
      <x:c r="H28" s="25" t="str">
        <x:v>https://opendata.swiss/de/dataset/arbeitsproduktivitat-nach-branchen-zu-laufenden-preisen-64-branchen</x:v>
      </x:c>
      <x:c r="I28" s="25" t="str">
        <x:v>Freigegeben</x:v>
      </x:c>
      <x:c r="J28" s="25" t="str">
        <x:v>Manuell gegen Titel, Publisher, Katalogprofil, Einsatzbereitschaft und Eindeutigkeit geprüft.</x:v>
      </x:c>
    </x:row>
    <x:row r="29">
      <x:c r="A29" s="24" t="str">
        <x:v>q028_de_direct</x:v>
      </x:c>
      <x:c r="B29" s="24" t="str">
        <x:v>de</x:v>
      </x:c>
      <x:c r="C29" s="24" t="str">
        <x:v>direct</x:v>
      </x:c>
      <x:c r="D29" s="25" t="str">
        <x:v>Finde den Schweizer Datensatz: Tabelle delle risorse e degli impieghi legati ai flussi di energia</x:v>
      </x:c>
      <x:c r="E29" s="25" t="str">
        <x:v>ckan:aufkommens-und-verwendungstabellen-fur-energieflusse6-1:79afd837-9e89-4b26-be25-bf6079643030</x:v>
      </x:c>
      <x:c r="F29" s="25" t="str">
        <x:v>Tabelle delle risorse e degli impieghi legati ai flussi di energia</x:v>
      </x:c>
      <x:c r="G29" s="25" t="str">
        <x:v>bundesamt-fur-statistik-bfs</x:v>
      </x:c>
      <x:c r="H29" s="25" t="str">
        <x:v>https://opendata.swiss/de/dataset/aufkommens-und-verwendungstabellen-fur-energieflusse6-1</x:v>
      </x:c>
      <x:c r="I29" s="25" t="str">
        <x:v>Freigegeben</x:v>
      </x:c>
      <x:c r="J29" s="25" t="str">
        <x:v>Manuell gegen Titel, Publisher, Katalogprofil, Einsatzbereitschaft und Eindeutigkeit geprüft.</x:v>
      </x:c>
    </x:row>
    <x:row r="30">
      <x:c r="A30" s="24" t="str">
        <x:v>q029_de_direct</x:v>
      </x:c>
      <x:c r="B30" s="24" t="str">
        <x:v>de</x:v>
      </x:c>
      <x:c r="C30" s="24" t="str">
        <x:v>direct</x:v>
      </x:c>
      <x:c r="D30" s="25" t="str">
        <x:v>Finde den Schweizer Datensatz: Ausländische Wohnbevölkerung seit 1836</x:v>
      </x:c>
      <x:c r="E30" s="25" t="str">
        <x:v>ckan:auslandische-wohnbevolkerung-seit-1836:34ee83c3-cf66-470d-91ec-73cd2d913a04</x:v>
      </x:c>
      <x:c r="F30" s="25" t="str">
        <x:v>Ausländische Wohnbevölkerung seit 1836</x:v>
      </x:c>
      <x:c r="G30" s="25" t="str">
        <x:v>kanton-zug</x:v>
      </x:c>
      <x:c r="H30" s="25" t="str">
        <x:v>https://opendata.swiss/de/dataset/auslandische-wohnbevolkerung-seit-1836</x:v>
      </x:c>
      <x:c r="I30" s="25" t="str">
        <x:v>Freigegeben</x:v>
      </x:c>
      <x:c r="J30" s="25" t="str">
        <x:v>Manuell gegen Titel, Publisher, Katalogprofil, Einsatzbereitschaft und Eindeutigkeit geprüft.</x:v>
      </x:c>
    </x:row>
    <x:row r="31">
      <x:c r="A31" s="24" t="str">
        <x:v>q030_de_direct</x:v>
      </x:c>
      <x:c r="B31" s="24" t="str">
        <x:v>de</x:v>
      </x:c>
      <x:c r="C31" s="24" t="str">
        <x:v>direct</x:v>
      </x:c>
      <x:c r="D31" s="25" t="str">
        <x:v>Finde den Schweizer Datensatz: Investissements et réserves de travail dans la construction, par genre d'ouvrage, selon les cantons; aux prix courants</x:v>
      </x:c>
      <x:c r="E31" s="25" t="str">
        <x:v>ckan:bauinvestitionen-und-arbeitsvorrat-nach-art-der-bauwerke-und-nach-kantonen-zu-laufenden-preisen4:70031ae2-f990-400f-8f3c-e09c0835baac</x:v>
      </x:c>
      <x:c r="F31" s="25" t="str">
        <x:v>Investissements et réserves de travail dans la construction, par genre d'ouvrage, selon les cantons; aux prix courants</x:v>
      </x:c>
      <x:c r="G31" s="25" t="str">
        <x:v>bundesamt-fur-statistik-bfs</x:v>
      </x:c>
      <x:c r="H31" s="25" t="str">
        <x:v>https://opendata.swiss/de/dataset/bauinvestitionen-und-arbeitsvorrat-nach-art-der-bauwerke-und-nach-kantonen-zu-laufenden-preisen4</x:v>
      </x:c>
      <x:c r="I31" s="25" t="str">
        <x:v>Freigegeben</x:v>
      </x:c>
      <x:c r="J31" s="25" t="str">
        <x:v>Manuell gegen Titel, Publisher, Katalogprofil, Einsatzbereitschaft und Eindeutigkeit geprüft.</x:v>
      </x:c>
    </x:row>
    <x:row r="32">
      <x:c r="A32" s="24" t="str">
        <x:v>q031_de_direct</x:v>
      </x:c>
      <x:c r="B32" s="24" t="str">
        <x:v>de</x:v>
      </x:c>
      <x:c r="C32" s="24" t="str">
        <x:v>direct</x:v>
      </x:c>
      <x:c r="D32" s="25" t="str">
        <x:v>Finde den Schweizer Datensatz: Densité d'occupation selon la nationalité des membres du ménage privé et leur nombre, par canton</x:v>
      </x:c>
      <x:c r="E32" s="25" t="str">
        <x:v>ckan:belegungsdichte-nach-anzahl-und-nationalitat-der-haushaltsmitglieder-nach-kanton4:1dbc98bb-339d-46c5-b4db-33592a0ee35c</x:v>
      </x:c>
      <x:c r="F32" s="25" t="str">
        <x:v>Densité d'occupation selon la nationalité des membres du ménage privé et leur nombre, par canton</x:v>
      </x:c>
      <x:c r="G32" s="25" t="str">
        <x:v>bundesamt-fur-statistik-bfs</x:v>
      </x:c>
      <x:c r="H32" s="25" t="str">
        <x:v>https://opendata.swiss/de/dataset/belegungsdichte-nach-anzahl-und-nationalitat-der-haushaltsmitglieder-nach-kanton4</x:v>
      </x:c>
      <x:c r="I32" s="25" t="str">
        <x:v>Freigegeben</x:v>
      </x:c>
      <x:c r="J32" s="25" t="str">
        <x:v>Manuell gegen Titel, Publisher, Katalogprofil, Einsatzbereitschaft und Eindeutigkeit geprüft.</x:v>
      </x:c>
    </x:row>
    <x:row r="33">
      <x:c r="A33" s="24" t="str">
        <x:v>q032_de_direct</x:v>
      </x:c>
      <x:c r="B33" s="24" t="str">
        <x:v>de</x:v>
      </x:c>
      <x:c r="C33" s="24" t="str">
        <x:v>direct</x:v>
      </x:c>
      <x:c r="D33" s="25" t="str">
        <x:v>Finde den Schweizer Datensatz: Parc des cyclomoteurs selon le canton (y compris les vélos électriques rapides)</x:v>
      </x:c>
      <x:c r="E33" s="25" t="str">
        <x:v>ckan:bestand-der-motorfahrrader-nach-kanton-inkl-schnelle-e-bikes1:f889d37f-ba95-4061-be35-a0a10a5cba3e</x:v>
      </x:c>
      <x:c r="F33" s="25" t="str">
        <x:v>Parc des cyclomoteurs selon le canton (y compris les vélos électriques rapides)</x:v>
      </x:c>
      <x:c r="G33" s="25" t="str">
        <x:v>bundesamt-fur-statistik-bfs</x:v>
      </x:c>
      <x:c r="H33" s="25" t="str">
        <x:v>https://opendata.swiss/de/dataset/bestand-der-motorfahrrader-nach-kanton-inkl-schnelle-e-bikes1</x:v>
      </x:c>
      <x:c r="I33" s="25" t="str">
        <x:v>Freigegeben</x:v>
      </x:c>
      <x:c r="J33" s="25" t="str">
        <x:v>Manuell gegen Titel, Publisher, Katalogprofil, Einsatzbereitschaft und Eindeutigkeit geprüft.</x:v>
      </x:c>
    </x:row>
    <x:row r="34">
      <x:c r="A34" s="24" t="str">
        <x:v>q033_de_direct</x:v>
      </x:c>
      <x:c r="B34" s="24" t="str">
        <x:v>de</x:v>
      </x:c>
      <x:c r="C34" s="24" t="str">
        <x:v>direct</x:v>
      </x:c>
      <x:c r="D34" s="25" t="str">
        <x:v>Finde den Schweizer Datensatz: Bevölkerung: Frauenanteil [%]</x:v>
      </x:c>
      <x:c r="E34" s="25" t="str">
        <x:v>ckan:bevolkerung-frauenanteil:84752f1c-f15c-4d33-9cab-b419feb8f155</x:v>
      </x:c>
      <x:c r="F34" s="25" t="str">
        <x:v>Bevölkerung: Frauenanteil [%]</x:v>
      </x:c>
      <x:c r="G34" s="25" t="str">
        <x:v>statistisches-amt-kanton-zuerich</x:v>
      </x:c>
      <x:c r="H34" s="25" t="str">
        <x:v>https://opendata.swiss/de/dataset/bevolkerung-frauenanteil</x:v>
      </x:c>
      <x:c r="I34" s="25" t="str">
        <x:v>Freigegeben</x:v>
      </x:c>
      <x:c r="J34" s="25" t="str">
        <x:v>Manuell gegen Titel, Publisher, Katalogprofil, Einsatzbereitschaft und Eindeutigkeit geprüft.</x:v>
      </x:c>
    </x:row>
    <x:row r="35">
      <x:c r="A35" s="24" t="str">
        <x:v>q034_de_direct</x:v>
      </x:c>
      <x:c r="B35" s="24" t="str">
        <x:v>de</x:v>
      </x:c>
      <x:c r="C35" s="24" t="str">
        <x:v>direct</x:v>
      </x:c>
      <x:c r="D35" s="25" t="str">
        <x:v>Finde den Schweizer Datensatz: Bewilligte Tagesbetreuungseinrichtungen für Kinder nach Standort</x:v>
      </x:c>
      <x:c r="E35" s="25" t="str">
        <x:v>ckan:bewilligte-tagesbetreuungseinrichtungen-fur-kinder-nach-standort-dezember-2022:550a7315-0f40-4f08-8465-7a4226b71051</x:v>
      </x:c>
      <x:c r="F35" s="25" t="str">
        <x:v>Bewilligte Tagesbetreuungseinrichtungen für Kinder nach Standort</x:v>
      </x:c>
      <x:c r="G35" s="25" t="str">
        <x:v>kanton-basel-landschaft</x:v>
      </x:c>
      <x:c r="H35" s="25" t="str">
        <x:v>https://opendata.swiss/de/dataset/bewilligte-tagesbetreuungseinrichtungen-fur-kinder-nach-standort-dezember-2022</x:v>
      </x:c>
      <x:c r="I35" s="25" t="str">
        <x:v>Freigegeben</x:v>
      </x:c>
      <x:c r="J35" s="25" t="str">
        <x:v>Manuell gegen Titel, Publisher, Katalogprofil, Einsatzbereitschaft und Eindeutigkeit geprüft.</x:v>
      </x:c>
    </x:row>
    <x:row r="36">
      <x:c r="A36" s="24" t="str">
        <x:v>q035_de_direct</x:v>
      </x:c>
      <x:c r="B36" s="24" t="str">
        <x:v>de</x:v>
      </x:c>
      <x:c r="C36" s="24" t="str">
        <x:v>direct</x:v>
      </x:c>
      <x:c r="D36" s="25" t="str">
        <x:v>Finde den Schweizer Datensatz: Bilan de la population résidante permanente, par canton et ville, de 1999 à 2022</x:v>
      </x:c>
      <x:c r="E36" s="25" t="str">
        <x:v>ckan:bilanz-der-standigen-wohnbevolkerung-nach-kanton-und-stadt-1999-2022:9ea79a69-46ba-44ea-a82a-570c8e27ccaf</x:v>
      </x:c>
      <x:c r="F36" s="25" t="str">
        <x:v>Bilan de la population résidante permanente, par canton et ville, de 1999 à 2022</x:v>
      </x:c>
      <x:c r="G36" s="25" t="str">
        <x:v>bundesamt-fur-statistik-bfs</x:v>
      </x:c>
      <x:c r="H36" s="25" t="str">
        <x:v>https://opendata.swiss/de/dataset/bilanz-der-standigen-wohnbevolkerung-nach-kanton-und-stadt-1999-2022</x:v>
      </x:c>
      <x:c r="I36" s="25" t="str">
        <x:v>Freigegeben</x:v>
      </x:c>
      <x:c r="J36" s="25" t="str">
        <x:v>Manuell gegen Titel, Publisher, Katalogprofil, Einsatzbereitschaft und Eindeutigkeit geprüft.</x:v>
      </x:c>
    </x:row>
    <x:row r="37">
      <x:c r="A37" s="24" t="str">
        <x:v>q036_de_direct</x:v>
      </x:c>
      <x:c r="B37" s="24" t="str">
        <x:v>de</x:v>
      </x:c>
      <x:c r="C37" s="24" t="str">
        <x:v>direct</x:v>
      </x:c>
      <x:c r="D37" s="25" t="str">
        <x:v>Finde den Schweizer Datensatz: Geoparquet-Datei - Bojen</x:v>
      </x:c>
      <x:c r="E37" s="25" t="str">
        <x:v>ckan:bojen-und-konzessionsobjekte-seeverkehr:b5d7d930-2e33-46ff-979c-e5ec67a3a4ee</x:v>
      </x:c>
      <x:c r="F37" s="25" t="str">
        <x:v>Geoparquet-Datei - Bojen</x:v>
      </x:c>
      <x:c r="G37" s="25" t="str">
        <x:v>amt-fuer-geoinformation-des-kantons-bern</x:v>
      </x:c>
      <x:c r="H37" s="25" t="str">
        <x:v>https://opendata.swiss/de/dataset/bojen-und-konzessionsobjekte-seeverkehr</x:v>
      </x:c>
      <x:c r="I37" s="25" t="str">
        <x:v>Freigegeben</x:v>
      </x:c>
      <x:c r="J37" s="25" t="str">
        <x:v>Manuell gegen Titel, Publisher, Katalogprofil, Einsatzbereitschaft und Eindeutigkeit geprüft.</x:v>
      </x:c>
    </x:row>
    <x:row r="38">
      <x:c r="A38" s="24" t="str">
        <x:v>q037_de_direct</x:v>
      </x:c>
      <x:c r="B38" s="24" t="str">
        <x:v>de</x:v>
      </x:c>
      <x:c r="C38" s="24" t="str">
        <x:v>direct</x:v>
      </x:c>
      <x:c r="D38" s="25" t="str">
        <x:v>Finde den Schweizer Datensatz: bundesbeschluss-ueber-die-beschaffung-neuer-kampfflugzeuge.json</x:v>
      </x:c>
      <x:c r="E38" s="25" t="str">
        <x:v>ckan:bundesbeschluss-uber-die-beschaffung-neuer-kampfflugzeuge:56b31693-4f76-4322-93a9-0be91d83474e</x:v>
      </x:c>
      <x:c r="F38" s="25" t="str">
        <x:v>bundesbeschluss-ueber-die-beschaffung-neuer-kampfflugzeuge.json</x:v>
      </x:c>
      <x:c r="G38" s="25" t="str">
        <x:v>standeskanzlei-graubuenden</x:v>
      </x:c>
      <x:c r="H38" s="25" t="str">
        <x:v>https://opendata.swiss/de/dataset/bundesbeschluss-uber-die-beschaffung-neuer-kampfflugzeuge</x:v>
      </x:c>
      <x:c r="I38" s="25" t="str">
        <x:v>Freigegeben</x:v>
      </x:c>
      <x:c r="J38" s="25" t="str">
        <x:v>Manuell gegen Titel, Publisher, Katalogprofil, Einsatzbereitschaft und Eindeutigkeit geprüft.</x:v>
      </x:c>
    </x:row>
    <x:row r="39">
      <x:c r="A39" s="24" t="str">
        <x:v>q038_de_direct</x:v>
      </x:c>
      <x:c r="B39" s="24" t="str">
        <x:v>de</x:v>
      </x:c>
      <x:c r="C39" s="24" t="str">
        <x:v>direct</x:v>
      </x:c>
      <x:c r="D39" s="25" t="str">
        <x:v>Finde den Schweizer Datensatz: bundesgesetz-vom-17-maerz-2017-ueber-die-reform-der-altersvorsorge-2020.csv</x:v>
      </x:c>
      <x:c r="E39" s="25" t="str">
        <x:v>ckan:bundesgesetz-vom-17-marz-2017-uber-die-reform-der-altersvorsorge-2020:64739b73-c14a-4eb2-b3ba-8c4eb9c783e9</x:v>
      </x:c>
      <x:c r="F39" s="25" t="str">
        <x:v>bundesgesetz-vom-17-maerz-2017-ueber-die-reform-der-altersvorsorge-2020.csv</x:v>
      </x:c>
      <x:c r="G39" s="25" t="str">
        <x:v>staatskanzlei-zug</x:v>
      </x:c>
      <x:c r="H39" s="25" t="str">
        <x:v>https://opendata.swiss/de/dataset/bundesgesetz-vom-17-marz-2017-uber-die-reform-der-altersvorsorge-2020</x:v>
      </x:c>
      <x:c r="I39" s="25" t="str">
        <x:v>Freigegeben</x:v>
      </x:c>
      <x:c r="J39" s="25" t="str">
        <x:v>Manuell gegen Titel, Publisher, Katalogprofil, Einsatzbereitschaft und Eindeutigkeit geprüft.</x:v>
      </x:c>
    </x:row>
    <x:row r="40">
      <x:c r="A40" s="24" t="str">
        <x:v>q039_de_direct</x:v>
      </x:c>
      <x:c r="B40" s="24" t="str">
        <x:v>de</x:v>
      </x:c>
      <x:c r="C40" s="24" t="str">
        <x:v>direct</x:v>
      </x:c>
      <x:c r="D40" s="25" t="str">
        <x:v>Finde den Schweizer Datensatz: Comptes régionaux de l'agriculture, production totale, dès 1999</x:v>
      </x:c>
      <x:c r="E40" s="25" t="str">
        <x:v>ckan:comptes-regionaux-de-lagriculture-production-totale-des-1999:9d250054-85f2-413a-823c-73108bb7a248</x:v>
      </x:c>
      <x:c r="F40" s="25" t="str">
        <x:v>Comptes régionaux de l'agriculture, production totale, dès 1999</x:v>
      </x:c>
      <x:c r="G40" s="25" t="str">
        <x:v>Amt für Statistik und Daten Freiburg</x:v>
      </x:c>
      <x:c r="H40" s="25" t="str">
        <x:v>https://opendata.swiss/de/dataset/comptes-regionaux-de-lagriculture-production-totale-des-1999</x:v>
      </x:c>
      <x:c r="I40" s="25" t="str">
        <x:v>Freigegeben</x:v>
      </x:c>
      <x:c r="J40" s="25" t="str">
        <x:v>Manuell gegen Titel, Publisher, Katalogprofil, Einsatzbereitschaft und Eindeutigkeit geprüft.</x:v>
      </x:c>
    </x:row>
    <x:row r="41">
      <x:c r="A41" s="24" t="str">
        <x:v>q040_de_direct</x:v>
      </x:c>
      <x:c r="B41" s="24" t="str">
        <x:v>de</x:v>
      </x:c>
      <x:c r="C41" s="24" t="str">
        <x:v>direct</x:v>
      </x:c>
      <x:c r="D41" s="25" t="str">
        <x:v>Finde den Schweizer Datensatz: (DEPRECATED)COVID19Hosp_reason_AKL10_w</x:v>
      </x:c>
      <x:c r="E41" s="25" t="str">
        <x:v>ckan:covid-19-schweiz:261e00e7-c275-40ad-b7e4-b72676a20045</x:v>
      </x:c>
      <x:c r="F41" s="25" t="str">
        <x:v>(DEPRECATED)COVID19Hosp_reason_AKL10_w</x:v>
      </x:c>
      <x:c r="G41" s="25" t="str">
        <x:v>bundesamt-fur-gesundheit-bag</x:v>
      </x:c>
      <x:c r="H41" s="25" t="str">
        <x:v>https://opendata.swiss/de/dataset/covid-19-schweiz</x:v>
      </x:c>
      <x:c r="I41" s="25" t="str">
        <x:v>Freigegeben</x:v>
      </x:c>
      <x:c r="J41" s="25" t="str">
        <x:v>Manuell gegen Titel, Publisher, Katalogprofil, Einsatzbereitschaft und Eindeutigkeit geprüft.</x:v>
      </x:c>
    </x:row>
    <x:row r="42">
      <x:c r="A42" s="24" t="str">
        <x:v>q041_de_direct</x:v>
      </x:c>
      <x:c r="B42" s="24" t="str">
        <x:v>de</x:v>
      </x:c>
      <x:c r="C42" s="24" t="str">
        <x:v>direct</x:v>
      </x:c>
      <x:c r="D42" s="25" t="str">
        <x:v>Finde den Schweizer Datensatz: (DEPRECATED)COVID19Cases_extraGeoRegions_d</x:v>
      </x:c>
      <x:c r="E42" s="25" t="str">
        <x:v>ckan:covid-19-schweiz:f0ba55fb-4d4e-4cac-ae29-e1e3d9805890</x:v>
      </x:c>
      <x:c r="F42" s="25" t="str">
        <x:v>(DEPRECATED)COVID19Cases_extraGeoRegions_d</x:v>
      </x:c>
      <x:c r="G42" s="25" t="str">
        <x:v>bundesamt-fur-gesundheit-bag</x:v>
      </x:c>
      <x:c r="H42" s="25" t="str">
        <x:v>https://opendata.swiss/de/dataset/covid-19-schweiz</x:v>
      </x:c>
      <x:c r="I42" s="25" t="str">
        <x:v>Freigegeben</x:v>
      </x:c>
      <x:c r="J42" s="25" t="str">
        <x:v>Manuell gegen Titel, Publisher, Katalogprofil, Einsatzbereitschaft und Eindeutigkeit geprüft.</x:v>
      </x:c>
    </x:row>
    <x:row r="43">
      <x:c r="A43" s="24" t="str">
        <x:v>q042_de_direct</x:v>
      </x:c>
      <x:c r="B43" s="24" t="str">
        <x:v>de</x:v>
      </x:c>
      <x:c r="C43" s="24" t="str">
        <x:v>direct</x:v>
      </x:c>
      <x:c r="D43" s="25" t="str">
        <x:v>Finde den Schweizer Datensatz: codeliste_2025.csv</x:v>
      </x:c>
      <x:c r="E43" s="25" t="str">
        <x:v>ckan:daten-der-firmenbefragung-2025-der-stadt-zurich:da1d7de0-a541-4df6-9ad5-4a8c50e151a7</x:v>
      </x:c>
      <x:c r="F43" s="25" t="str">
        <x:v>codeliste_2025.csv</x:v>
      </x:c>
      <x:c r="G43" s="25" t="str">
        <x:v>stadt-zurich</x:v>
      </x:c>
      <x:c r="H43" s="25" t="str">
        <x:v>https://opendata.swiss/de/dataset/daten-der-firmenbefragung-2025-der-stadt-zurich</x:v>
      </x:c>
      <x:c r="I43" s="25" t="str">
        <x:v>Freigegeben</x:v>
      </x:c>
      <x:c r="J43" s="25" t="str">
        <x:v>Manuell gegen Titel, Publisher, Katalogprofil, Einsatzbereitschaft und Eindeutigkeit geprüft.</x:v>
      </x:c>
    </x:row>
    <x:row r="44">
      <x:c r="A44" s="24" t="str">
        <x:v>q043_de_direct</x:v>
      </x:c>
      <x:c r="B44" s="24" t="str">
        <x:v>de</x:v>
      </x:c>
      <x:c r="C44" s="24" t="str">
        <x:v>direct</x:v>
      </x:c>
      <x:c r="D44" s="25" t="str">
        <x:v>Finde den Schweizer Datensatz: Spese dettagliate (tutte le tabelle degli anni 2015-2017)</x:v>
      </x:c>
      <x:c r="E44" s="25" t="str">
        <x:v>ckan:detaillierte-haushaltsausgaben-samtliche-tabellen-der-jahre-2015-20171:0f40496e-6d64-485f-9193-cb6b569e3101</x:v>
      </x:c>
      <x:c r="F44" s="25" t="str">
        <x:v>Spese dettagliate (tutte le tabelle degli anni 2015-2017)</x:v>
      </x:c>
      <x:c r="G44" s="25" t="str">
        <x:v>bundesamt-fur-statistik-bfs</x:v>
      </x:c>
      <x:c r="H44" s="25" t="str">
        <x:v>https://opendata.swiss/de/dataset/detaillierte-haushaltsausgaben-samtliche-tabellen-der-jahre-2015-20171</x:v>
      </x:c>
      <x:c r="I44" s="25" t="str">
        <x:v>Freigegeben</x:v>
      </x:c>
      <x:c r="J44" s="25" t="str">
        <x:v>Manuell gegen Titel, Publisher, Katalogprofil, Einsatzbereitschaft und Eindeutigkeit geprüft.</x:v>
      </x:c>
    </x:row>
    <x:row r="45">
      <x:c r="A45" s="24" t="str">
        <x:v>q044_de_direct</x:v>
      </x:c>
      <x:c r="B45" s="24" t="str">
        <x:v>de</x:v>
      </x:c>
      <x:c r="C45" s="24" t="str">
        <x:v>direct</x:v>
      </x:c>
      <x:c r="D45" s="25" t="str">
        <x:v>Finde den Schweizer Datensatz: Durchschnittliche Armutsgrenzen ausgewählter Haushaltstypen</x:v>
      </x:c>
      <x:c r="E45" s="25" t="str">
        <x:v>ckan:durchschnittliche-armutsgrenzen-ausgewahlter-haushaltstypen4:5f1d25bc-1b85-4ad5-a9cb-2b731bf39006</x:v>
      </x:c>
      <x:c r="F45" s="25" t="str">
        <x:v>Durchschnittliche Armutsgrenzen ausgewählter Haushaltstypen</x:v>
      </x:c>
      <x:c r="G45" s="25" t="str">
        <x:v>bundesamt-fur-statistik-bfs</x:v>
      </x:c>
      <x:c r="H45" s="25" t="str">
        <x:v>https://opendata.swiss/de/dataset/durchschnittliche-armutsgrenzen-ausgewahlter-haushaltstypen4</x:v>
      </x:c>
      <x:c r="I45" s="25" t="str">
        <x:v>Freigegeben</x:v>
      </x:c>
      <x:c r="J45" s="25" t="str">
        <x:v>Manuell gegen Titel, Publisher, Katalogprofil, Einsatzbereitschaft und Eindeutigkeit geprüft.</x:v>
      </x:c>
    </x:row>
    <x:row r="46">
      <x:c r="A46" s="24" t="str">
        <x:v>q045_de_direct</x:v>
      </x:c>
      <x:c r="B46" s="24" t="str">
        <x:v>de</x:v>
      </x:c>
      <x:c r="C46" s="24" t="str">
        <x:v>direct</x:v>
      </x:c>
      <x:c r="D46" s="25" t="str">
        <x:v>Finde den Schweizer Datensatz: Durchschnittlicher Mietpreis in Franken nach Zimmerzahl und Kanton</x:v>
      </x:c>
      <x:c r="E46" s="25" t="str">
        <x:v>ckan:durchschnittlicher-mietpreis-in-franken-nach-zimmerzahl-und-kanton2:8da6bcf0-2f26-4b36-8604-604664d3ad0f</x:v>
      </x:c>
      <x:c r="F46" s="25" t="str">
        <x:v>Durchschnittlicher Mietpreis in Franken nach Zimmerzahl und Kanton</x:v>
      </x:c>
      <x:c r="G46" s="25" t="str">
        <x:v>bundesamt-fur-statistik-bfs</x:v>
      </x:c>
      <x:c r="H46" s="25" t="str">
        <x:v>https://opendata.swiss/de/dataset/durchschnittlicher-mietpreis-in-franken-nach-zimmerzahl-und-kanton2</x:v>
      </x:c>
      <x:c r="I46" s="25" t="str">
        <x:v>Freigegeben</x:v>
      </x:c>
      <x:c r="J46" s="25" t="str">
        <x:v>Manuell gegen Titel, Publisher, Katalogprofil, Einsatzbereitschaft und Eindeutigkeit geprüft.</x:v>
      </x:c>
    </x:row>
    <x:row r="47">
      <x:c r="A47" s="24" t="str">
        <x:v>q046_de_direct</x:v>
      </x:c>
      <x:c r="B47" s="24" t="str">
        <x:v>de</x:v>
      </x:c>
      <x:c r="C47" s="24" t="str">
        <x:v>direct</x:v>
      </x:c>
      <x:c r="D47" s="25" t="str">
        <x:v>Finde den Schweizer Datensatz: Urnengang vom 26.11.2023 – Abstimmungen und Majorzwahlen</x:v>
      </x:c>
      <x:c r="E47" s="25" t="str">
        <x:v>ckan:echtzeitdaten-am-abstimmungstag-des-kantons-zurich-kommunale-und-regionale-vorlagen:c664a760-d49f-4cc6-b429-5a578e339ca5</x:v>
      </x:c>
      <x:c r="F47" s="25" t="str">
        <x:v>Urnengang vom 26.11.2023 – Abstimmungen und Majorzwahlen</x:v>
      </x:c>
      <x:c r="G47" s="25" t="str">
        <x:v>statistisches-amt-kanton-zuerich</x:v>
      </x:c>
      <x:c r="H47" s="25" t="str">
        <x:v>https://opendata.swiss/de/dataset/echtzeitdaten-am-abstimmungstag-des-kantons-zurich-kommunale-und-regionale-vorlagen</x:v>
      </x:c>
      <x:c r="I47" s="25" t="str">
        <x:v>Freigegeben</x:v>
      </x:c>
      <x:c r="J47" s="25" t="str">
        <x:v>Manuell gegen Titel, Publisher, Katalogprofil, Einsatzbereitschaft und Eindeutigkeit geprüft.</x:v>
      </x:c>
    </x:row>
    <x:row r="48">
      <x:c r="A48" s="24" t="str">
        <x:v>q047_de_direct</x:v>
      </x:c>
      <x:c r="B48" s="24" t="str">
        <x:v>de</x:v>
      </x:c>
      <x:c r="C48" s="24" t="str">
        <x:v>direct</x:v>
      </x:c>
      <x:c r="D48" s="25" t="str">
        <x:v>Finde den Schweizer Datensatz: Volksabstimmung vom 09.06.2024– Eidgenössische Vorlagen</x:v>
      </x:c>
      <x:c r="E48" s="25" t="str">
        <x:v>ckan:echtzeitdaten-am-abstimmungstag-zu-eidgenoessischen-abstimmungsvorlagen:b71301e8-4939-45e8-b895-b67dcdf50bc9</x:v>
      </x:c>
      <x:c r="F48" s="25" t="str">
        <x:v>Volksabstimmung vom 09.06.2024– Eidgenössische Vorlagen</x:v>
      </x:c>
      <x:c r="G48" s="25" t="str">
        <x:v>bundesamt-fur-statistik-bfs</x:v>
      </x:c>
      <x:c r="H48" s="25" t="str">
        <x:v>https://opendata.swiss/de/dataset/echtzeitdaten-am-abstimmungstag-zu-eidgenoessischen-abstimmungsvorlagen</x:v>
      </x:c>
      <x:c r="I48" s="25" t="str">
        <x:v>Freigegeben</x:v>
      </x:c>
      <x:c r="J48" s="25" t="str">
        <x:v>Manuell gegen Titel, Publisher, Katalogprofil, Einsatzbereitschaft und Eindeutigkeit geprüft.</x:v>
      </x:c>
    </x:row>
    <x:row r="49">
      <x:c r="A49" s="24" t="str">
        <x:v>q048_de_direct</x:v>
      </x:c>
      <x:c r="B49" s="24" t="str">
        <x:v>de</x:v>
      </x:c>
      <x:c r="C49" s="24" t="str">
        <x:v>direct</x:v>
      </x:c>
      <x:c r="D49" s="25" t="str">
        <x:v>Finde den Schweizer Datensatz: Volksabstimmung vom 08.03.2015– Eidgenössische Vorlagen</x:v>
      </x:c>
      <x:c r="E49" s="25" t="str">
        <x:v>ckan:echtzeitdaten-zu-den-eidgenossischen-abstimmungen-gemeindestand-am-datum-der-abstimmung:3466842c-d1fc-432e-9569-6f1ac6191a16</x:v>
      </x:c>
      <x:c r="F49" s="25" t="str">
        <x:v>Volksabstimmung vom 08.03.2015– Eidgenössische Vorlagen</x:v>
      </x:c>
      <x:c r="G49" s="25" t="str">
        <x:v>bundesamt-fur-statistik-bfs</x:v>
      </x:c>
      <x:c r="H49" s="25" t="str">
        <x:v>https://opendata.swiss/de/dataset/echtzeitdaten-zu-den-eidgenossischen-abstimmungen-gemeindestand-am-datum-der-abstimmung</x:v>
      </x:c>
      <x:c r="I49" s="25" t="str">
        <x:v>Freigegeben</x:v>
      </x:c>
      <x:c r="J49" s="25" t="str">
        <x:v>Manuell gegen Titel, Publisher, Katalogprofil, Einsatzbereitschaft und Eindeutigkeit geprüft.</x:v>
      </x:c>
    </x:row>
    <x:row r="50">
      <x:c r="A50" s="24" t="str">
        <x:v>q049_de_direct</x:v>
      </x:c>
      <x:c r="B50" s="24" t="str">
        <x:v>de</x:v>
      </x:c>
      <x:c r="C50" s="24" t="str">
        <x:v>direct</x:v>
      </x:c>
      <x:c r="D50" s="25" t="str">
        <x:v>Finde den Schweizer Datensatz: Effektiver und erwarteter täglicher Gasverbrauch</x:v>
      </x:c>
      <x:c r="E50" s="25" t="str">
        <x:v>ckan:effektiver-und-erwarteter-taglicher-gasverbrauch:f246752e-6374-496a-8d44-93469e2f977e</x:v>
      </x:c>
      <x:c r="F50" s="25" t="str">
        <x:v>Effektiver und erwarteter täglicher Gasverbrauch</x:v>
      </x:c>
      <x:c r="G50" s="25" t="str">
        <x:v>kanton-basel-stadt</x:v>
      </x:c>
      <x:c r="H50" s="25" t="str">
        <x:v>https://opendata.swiss/de/dataset/effektiver-und-erwarteter-taglicher-gasverbrauch</x:v>
      </x:c>
      <x:c r="I50" s="25" t="str">
        <x:v>Freigegeben</x:v>
      </x:c>
      <x:c r="J50" s="25" t="str">
        <x:v>Manuell gegen Titel, Publisher, Katalogprofil, Einsatzbereitschaft und Eindeutigkeit geprüft.</x:v>
      </x:c>
    </x:row>
    <x:row r="51">
      <x:c r="A51" s="24" t="str">
        <x:v>q050_de_direct</x:v>
      </x:c>
      <x:c r="B51" s="24" t="str">
        <x:v>de</x:v>
      </x:c>
      <x:c r="C51" s="24" t="str">
        <x:v>direct</x:v>
      </x:c>
      <x:c r="D51" s="25" t="str">
        <x:v>Finde den Schweizer Datensatz: Type de propriétaire des logements de locataires pour les six plus grandes villes, 2021-2023 cumulé</x:v>
      </x:c>
      <x:c r="E51" s="25" t="str">
        <x:v>ckan:eigentumertyp-der-mietwohnungen-der-sechs-grossten-stadte-2021-2023-kumiliert:bd338606-405b-48e3-918c-5d79ab0c5f44</x:v>
      </x:c>
      <x:c r="F51" s="25" t="str">
        <x:v>Type de propriétaire des logements de locataires pour les six plus grandes villes, 2021-2023 cumulé</x:v>
      </x:c>
      <x:c r="G51" s="25" t="str">
        <x:v>bundesamt-fur-statistik-bfs</x:v>
      </x:c>
      <x:c r="H51" s="25" t="str">
        <x:v>https://opendata.swiss/de/dataset/eigentumertyp-der-mietwohnungen-der-sechs-grossten-stadte-2021-2023-kumiliert</x:v>
      </x:c>
      <x:c r="I51" s="25" t="str">
        <x:v>Freigegeben</x:v>
      </x:c>
      <x:c r="J51" s="25" t="str">
        <x:v>Manuell gegen Titel, Publisher, Katalogprofil, Einsatzbereitschaft und Eindeutigkeit geprüft.</x:v>
      </x:c>
    </x:row>
    <x:row r="52">
      <x:c r="A52" s="24" t="str">
        <x:v>q051_de_direct</x:v>
      </x:c>
      <x:c r="B52" s="24" t="str">
        <x:v>de</x:v>
      </x:c>
      <x:c r="C52" s="24" t="str">
        <x:v>direct</x:v>
      </x:c>
      <x:c r="D52" s="25" t="str">
        <x:v>Finde den Schweizer Datensatz: Résultats du Conseil d'Etat</x:v>
      </x:c>
      <x:c r="E52" s="25" t="str">
        <x:v>ckan:elections-cantonales-2018-resultats-detailles-du-canton-de-geneve:8bd877b2-1732-4afe-b9d1-effdff1a6f5e</x:v>
      </x:c>
      <x:c r="F52" s="25" t="str">
        <x:v>Résultats du Conseil d'Etat</x:v>
      </x:c>
      <x:c r="G52" s="25" t="str">
        <x:v>administration-cantonale-geneve</x:v>
      </x:c>
      <x:c r="H52" s="25" t="str">
        <x:v>https://opendata.swiss/de/dataset/elections-cantonales-2018-resultats-detailles-du-canton-de-geneve</x:v>
      </x:c>
      <x:c r="I52" s="25" t="str">
        <x:v>Freigegeben</x:v>
      </x:c>
      <x:c r="J52" s="25" t="str">
        <x:v>Manuell gegen Titel, Publisher, Katalogprofil, Einsatzbereitschaft und Eindeutigkeit geprüft.</x:v>
      </x:c>
    </x:row>
    <x:row r="53">
      <x:c r="A53" s="24" t="str">
        <x:v>q052_de_direct</x:v>
      </x:c>
      <x:c r="B53" s="24" t="str">
        <x:v>de</x:v>
      </x:c>
      <x:c r="C53" s="24" t="str">
        <x:v>direct</x:v>
      </x:c>
      <x:c r="D53" s="25" t="str">
        <x:v>Finde den Schweizer Datensatz: Unmet need for health care of children, for financial reasons, by various socio-demographic characteristics</x:v>
      </x:c>
      <x:c r="E53" s="25" t="str">
        <x:v>ckan:entbehrungen-von-pflegeleistungen-der-kinder-nach-verschiedenen-soziodemografischen-merkmalen1:966cb2ee-73b3-4a6c-863e-b007fb321194</x:v>
      </x:c>
      <x:c r="F53" s="25" t="str">
        <x:v>Unmet need for health care of children, for financial reasons, by various socio-demographic characteristics</x:v>
      </x:c>
      <x:c r="G53" s="25" t="str">
        <x:v>bundesamt-fur-statistik-bfs</x:v>
      </x:c>
      <x:c r="H53" s="25" t="str">
        <x:v>https://opendata.swiss/de/dataset/entbehrungen-von-pflegeleistungen-der-kinder-nach-verschiedenen-soziodemografischen-merkmalen1</x:v>
      </x:c>
      <x:c r="I53" s="25" t="str">
        <x:v>Freigegeben</x:v>
      </x:c>
      <x:c r="J53" s="25" t="str">
        <x:v>Manuell gegen Titel, Publisher, Katalogprofil, Einsatzbereitschaft und Eindeutigkeit geprüft.</x:v>
      </x:c>
    </x:row>
    <x:row r="54">
      <x:c r="A54" s="24" t="str">
        <x:v>q053_de_direct</x:v>
      </x:c>
      <x:c r="B54" s="24" t="str">
        <x:v>de</x:v>
      </x:c>
      <x:c r="C54" s="24" t="str">
        <x:v>direct</x:v>
      </x:c>
      <x:c r="D54" s="25" t="str">
        <x:v>Finde den Schweizer Datensatz: Entwicklung des Rundholzeinschnittes in den Sägewerken der Schweiz nach Grössenklassen</x:v>
      </x:c>
      <x:c r="E54" s="25" t="str">
        <x:v>ckan:entwicklung-des-rundholzeinschnittes-in-den-sagewerken-der-schweiz-nach-grossenklassen5-1:ac9f43a5-920a-4ea7-8117-f4a259f217b8</x:v>
      </x:c>
      <x:c r="F54" s="25" t="str">
        <x:v>Entwicklung des Rundholzeinschnittes in den Sägewerken der Schweiz nach Grössenklassen</x:v>
      </x:c>
      <x:c r="G54" s="25" t="str">
        <x:v>bundesamt-fur-statistik-bfs</x:v>
      </x:c>
      <x:c r="H54" s="25" t="str">
        <x:v>https://opendata.swiss/de/dataset/entwicklung-des-rundholzeinschnittes-in-den-sagewerken-der-schweiz-nach-grossenklassen5-1</x:v>
      </x:c>
      <x:c r="I54" s="25" t="str">
        <x:v>Freigegeben</x:v>
      </x:c>
      <x:c r="J54" s="25" t="str">
        <x:v>Manuell gegen Titel, Publisher, Katalogprofil, Einsatzbereitschaft und Eindeutigkeit geprüft.</x:v>
      </x:c>
    </x:row>
    <x:row r="55">
      <x:c r="A55" s="24" t="str">
        <x:v>q054_de_direct</x:v>
      </x:c>
      <x:c r="B55" s="24" t="str">
        <x:v>de</x:v>
      </x:c>
      <x:c r="C55" s="24" t="str">
        <x:v>direct</x:v>
      </x:c>
      <x:c r="D55" s="25" t="str">
        <x:v>Finde den Schweizer Datensatz: Externe Effekte des Verkehrs 2023: Sensitivitätsanalysen</x:v>
      </x:c>
      <x:c r="E55" s="25" t="str">
        <x:v>ckan:ergebnistabellen-externe-effekte-des-verkehrs:fc85e5d4-3a95-45e6-b223-d07db118a108</x:v>
      </x:c>
      <x:c r="F55" s="25" t="str">
        <x:v>Externe Effekte des Verkehrs 2023: Sensitivitätsanalysen</x:v>
      </x:c>
      <x:c r="G55" s="25" t="str">
        <x:v>bundesamt-fur-raumentwicklung-are</x:v>
      </x:c>
      <x:c r="H55" s="25" t="str">
        <x:v>https://opendata.swiss/de/dataset/ergebnistabellen-externe-effekte-des-verkehrs</x:v>
      </x:c>
      <x:c r="I55" s="25" t="str">
        <x:v>Freigegeben</x:v>
      </x:c>
      <x:c r="J55" s="25" t="str">
        <x:v>Manuell gegen Titel, Publisher, Katalogprofil, Einsatzbereitschaft und Eindeutigkeit geprüft.</x:v>
      </x:c>
    </x:row>
    <x:row r="56">
      <x:c r="A56" s="24" t="str">
        <x:v>q055_de_direct</x:v>
      </x:c>
      <x:c r="B56" s="24" t="str">
        <x:v>de</x:v>
      </x:c>
      <x:c r="C56" s="24" t="str">
        <x:v>direct</x:v>
      </x:c>
      <x:c r="D56" s="25" t="str">
        <x:v>Finde den Schweizer Datensatz: Adults: Convictions for a misdemeanour or felony under the articles of the Swiss Military Criminal Code (SMCC), by year</x:v>
      </x:c>
      <x:c r="E56" s="25" t="str">
        <x:v>ckan:erwachsene-verurteilungen-fur-ein-verbrechen-oder-vergehen-nach-artikeln-des-militarstrafgesetz4:0b824e3b-4fcb-47c8-88d0-e8bac7683486</x:v>
      </x:c>
      <x:c r="F56" s="25" t="str">
        <x:v>Adults: Convictions for a misdemeanour or felony under the articles of the Swiss Military Criminal Code (SMCC), by year</x:v>
      </x:c>
      <x:c r="G56" s="25" t="str">
        <x:v>bundesamt-fur-statistik-bfs</x:v>
      </x:c>
      <x:c r="H56" s="25" t="str">
        <x:v>https://opendata.swiss/de/dataset/erwachsene-verurteilungen-fur-ein-verbrechen-oder-vergehen-nach-artikeln-des-militarstrafgesetz4</x:v>
      </x:c>
      <x:c r="I56" s="25" t="str">
        <x:v>Freigegeben</x:v>
      </x:c>
      <x:c r="J56" s="25" t="str">
        <x:v>Manuell gegen Titel, Publisher, Katalogprofil, Einsatzbereitschaft und Eindeutigkeit geprüft.</x:v>
      </x:c>
    </x:row>
    <x:row r="57">
      <x:c r="A57" s="24" t="str">
        <x:v>q056_de_direct</x:v>
      </x:c>
      <x:c r="B57" s="24" t="str">
        <x:v>de</x:v>
      </x:c>
      <x:c r="C57" s="24" t="str">
        <x:v>direct</x:v>
      </x:c>
      <x:c r="D57" s="25" t="str">
        <x:v>Finde den Schweizer Datensatz: Erwerbslosenquote gemäss ILO nach Geschlecht, Nationalität und anderen Merkmalen</x:v>
      </x:c>
      <x:c r="E57" s="25" t="str">
        <x:v>ckan:erwerbslosenquote-gemass-ilo-nach-geschlecht-nationalitat-und-anderen-merkmalen12:5f75e77e-932b-4513-b04c-6e054e5be5bd</x:v>
      </x:c>
      <x:c r="F57" s="25" t="str">
        <x:v>Erwerbslosenquote gemäss ILO nach Geschlecht, Nationalität und anderen Merkmalen</x:v>
      </x:c>
      <x:c r="G57" s="25" t="str">
        <x:v>bundesamt-fur-statistik-bfs</x:v>
      </x:c>
      <x:c r="H57" s="25" t="str">
        <x:v>https://opendata.swiss/de/dataset/erwerbslosenquote-gemass-ilo-nach-geschlecht-nationalitat-und-anderen-merkmalen12</x:v>
      </x:c>
      <x:c r="I57" s="25" t="str">
        <x:v>Freigegeben</x:v>
      </x:c>
      <x:c r="J57" s="25" t="str">
        <x:v>Manuell gegen Titel, Publisher, Katalogprofil, Einsatzbereitschaft und Eindeutigkeit geprüft.</x:v>
      </x:c>
    </x:row>
    <x:row r="58">
      <x:c r="A58" s="24" t="str">
        <x:v>q057_de_direct</x:v>
      </x:c>
      <x:c r="B58" s="24" t="str">
        <x:v>de</x:v>
      </x:c>
      <x:c r="C58" s="24" t="str">
        <x:v>direct</x:v>
      </x:c>
      <x:c r="D58" s="25" t="str">
        <x:v>Finde den Schweizer Datensatz: European Snow Booklet – an Inventory of Snow Measurements in Europe</x:v>
      </x:c>
      <x:c r="E58" s="25" t="str">
        <x:v>ckan:european-snow-booklet-an-inventory-of-snow-measurements-in-europe:77b39d69-13dd-49a8-9bb5-8776acab4d45</x:v>
      </x:c>
      <x:c r="F58" s="25" t="str">
        <x:v>European Snow Booklet – an Inventory of Snow Measurements in Europe</x:v>
      </x:c>
      <x:c r="G58" s="25" t="str">
        <x:v>envidat</x:v>
      </x:c>
      <x:c r="H58" s="25" t="str">
        <x:v>https://opendata.swiss/de/dataset/european-snow-booklet-an-inventory-of-snow-measurements-in-europe</x:v>
      </x:c>
      <x:c r="I58" s="25" t="str">
        <x:v>Freigegeben</x:v>
      </x:c>
      <x:c r="J58" s="25" t="str">
        <x:v>Manuell gegen Titel, Publisher, Katalogprofil, Einsatzbereitschaft und Eindeutigkeit geprüft.</x:v>
      </x:c>
    </x:row>
    <x:row r="59">
      <x:c r="A59" s="24" t="str">
        <x:v>q058_de_direct</x:v>
      </x:c>
      <x:c r="B59" s="24" t="str">
        <x:v>de</x:v>
      </x:c>
      <x:c r="C59" s="24" t="str">
        <x:v>direct</x:v>
      </x:c>
      <x:c r="D59" s="25" t="str">
        <x:v>Finde den Schweizer Datensatz: Fahrzeiten_SOLL_IST_20170917_20170923.csv</x:v>
      </x:c>
      <x:c r="E59" s="25" t="str">
        <x:v>ckan:fahrzeiten-2017-der-vbz-im-soll-ist-vergleich-nachfuhrung-eingestellt1:280590dd-afaf-4e15-a449-f071def752a9</x:v>
      </x:c>
      <x:c r="F59" s="25" t="str">
        <x:v>Fahrzeiten_SOLL_IST_20170917_20170923.csv</x:v>
      </x:c>
      <x:c r="G59" s="25" t="str">
        <x:v>stadt-zurich</x:v>
      </x:c>
      <x:c r="H59" s="25" t="str">
        <x:v>https://opendata.swiss/de/dataset/fahrzeiten-2017-der-vbz-im-soll-ist-vergleich-nachfuhrung-eingestellt1</x:v>
      </x:c>
      <x:c r="I59" s="25" t="str">
        <x:v>Freigegeben</x:v>
      </x:c>
      <x:c r="J59" s="25" t="str">
        <x:v>Manuell gegen Titel, Publisher, Katalogprofil, Einsatzbereitschaft und Eindeutigkeit geprüft.</x:v>
      </x:c>
    </x:row>
    <x:row r="60">
      <x:c r="A60" s="24" t="str">
        <x:v>q059_de_direct</x:v>
      </x:c>
      <x:c r="B60" s="24" t="str">
        <x:v>de</x:v>
      </x:c>
      <x:c r="C60" s="24" t="str">
        <x:v>direct</x:v>
      </x:c>
      <x:c r="D60" s="25" t="str">
        <x:v>Finde den Schweizer Datensatz: Fahrzeiten_SOLL_IST_20190120_20190126.csv</x:v>
      </x:c>
      <x:c r="E60" s="25" t="str">
        <x:v>ckan:fahrzeiten-2019-der-vbz-im-soll-ist-vergleich-nachfuhrung-eingestellt1:553ee74e-0d9c-4b61-b24f-fe1fa53bb8ac</x:v>
      </x:c>
      <x:c r="F60" s="25" t="str">
        <x:v>Fahrzeiten_SOLL_IST_20190120_20190126.csv</x:v>
      </x:c>
      <x:c r="G60" s="25" t="str">
        <x:v>stadt-zurich</x:v>
      </x:c>
      <x:c r="H60" s="25" t="str">
        <x:v>https://opendata.swiss/de/dataset/fahrzeiten-2019-der-vbz-im-soll-ist-vergleich-nachfuhrung-eingestellt1</x:v>
      </x:c>
      <x:c r="I60" s="25" t="str">
        <x:v>Freigegeben</x:v>
      </x:c>
      <x:c r="J60" s="25" t="str">
        <x:v>Manuell gegen Titel, Publisher, Katalogprofil, Einsatzbereitschaft und Eindeutigkeit geprüft.</x:v>
      </x:c>
    </x:row>
    <x:row r="61">
      <x:c r="A61" s="24" t="str">
        <x:v>q060_de_direct</x:v>
      </x:c>
      <x:c r="B61" s="24" t="str">
        <x:v>de</x:v>
      </x:c>
      <x:c r="C61" s="24" t="str">
        <x:v>direct</x:v>
      </x:c>
      <x:c r="D61" s="25" t="str">
        <x:v>Finde den Schweizer Datensatz: Fahrzeiten_SOLL_IST_20211024_20211030.csv</x:v>
      </x:c>
      <x:c r="E61" s="25" t="str">
        <x:v>ckan:fahrzeiten-2021-der-vbz-im-soll-ist-vergleich-nachfuhrung-eingestellt:6389ed6c-5281-43e1-9a58-86ad06e68139</x:v>
      </x:c>
      <x:c r="F61" s="25" t="str">
        <x:v>Fahrzeiten_SOLL_IST_20211024_20211030.csv</x:v>
      </x:c>
      <x:c r="G61" s="25" t="str">
        <x:v>stadt-zurich</x:v>
      </x:c>
      <x:c r="H61" s="25" t="str">
        <x:v>https://opendata.swiss/de/dataset/fahrzeiten-2021-der-vbz-im-soll-ist-vergleich-nachfuhrung-eingestellt</x:v>
      </x:c>
      <x:c r="I61" s="25" t="str">
        <x:v>Freigegeben</x:v>
      </x:c>
      <x:c r="J61" s="25" t="str">
        <x:v>Manuell gegen Titel, Publisher, Katalogprofil, Einsatzbereitschaft und Eindeutigkeit geprüft.</x:v>
      </x:c>
    </x:row>
    <x:row r="62">
      <x:c r="A62" s="24" t="str">
        <x:v>q061_de_direct</x:v>
      </x:c>
      <x:c r="B62" s="24" t="str">
        <x:v>de</x:v>
      </x:c>
      <x:c r="C62" s="24" t="str">
        <x:v>direct</x:v>
      </x:c>
      <x:c r="D62" s="25" t="str">
        <x:v>Finde den Schweizer Datensatz: Fahrzeiten_SOLL_IST_20230430_20230506.csv</x:v>
      </x:c>
      <x:c r="E62" s="25" t="str">
        <x:v>ckan:fahrzeiten-2023-der-vbz-im-soll-ist-vergleich-nachfuhrung-eingestellt1:da5369b2-483e-4e8e-b25c-b12baa17e08e</x:v>
      </x:c>
      <x:c r="F62" s="25" t="str">
        <x:v>Fahrzeiten_SOLL_IST_20230430_20230506.csv</x:v>
      </x:c>
      <x:c r="G62" s="25" t="str">
        <x:v>stadt-zurich</x:v>
      </x:c>
      <x:c r="H62" s="25" t="str">
        <x:v>https://opendata.swiss/de/dataset/fahrzeiten-2023-der-vbz-im-soll-ist-vergleich-nachfuhrung-eingestellt1</x:v>
      </x:c>
      <x:c r="I62" s="25" t="str">
        <x:v>Freigegeben</x:v>
      </x:c>
      <x:c r="J62" s="25" t="str">
        <x:v>Manuell gegen Titel, Publisher, Katalogprofil, Einsatzbereitschaft und Eindeutigkeit geprüft.</x:v>
      </x:c>
    </x:row>
    <x:row r="63">
      <x:c r="A63" s="24" t="str">
        <x:v>q062_de_direct</x:v>
      </x:c>
      <x:c r="B63" s="24" t="str">
        <x:v>de</x:v>
      </x:c>
      <x:c r="C63" s="24" t="str">
        <x:v>direct</x:v>
      </x:c>
      <x:c r="D63" s="25" t="str">
        <x:v>Finde den Schweizer Datensatz: Fetzer_Khibiny_Treeline_NPcycling</x:v>
      </x:c>
      <x:c r="E63" s="25" t="str">
        <x:v>ckan:fetzer_khibiny_treeline_npcycling:79b0302a-7d2f-4367-980a-7cab92c985e0</x:v>
      </x:c>
      <x:c r="F63" s="25" t="str">
        <x:v>Fetzer_Khibiny_Treeline_NPcycling</x:v>
      </x:c>
      <x:c r="G63" s="25" t="str">
        <x:v>envidat</x:v>
      </x:c>
      <x:c r="H63" s="25" t="str">
        <x:v>https://opendata.swiss/de/dataset/fetzer_khibiny_treeline_npcycling</x:v>
      </x:c>
      <x:c r="I63" s="25" t="str">
        <x:v>Freigegeben</x:v>
      </x:c>
      <x:c r="J63" s="25" t="str">
        <x:v>Manuell gegen Titel, Publisher, Katalogprofil, Einsatzbereitschaft und Eindeutigkeit geprüft.</x:v>
      </x:c>
    </x:row>
    <x:row r="64">
      <x:c r="A64" s="24" t="str">
        <x:v>q063_de_direct</x:v>
      </x:c>
      <x:c r="B64" s="24" t="str">
        <x:v>de</x:v>
      </x:c>
      <x:c r="C64" s="24" t="str">
        <x:v>direct</x:v>
      </x:c>
      <x:c r="D64" s="25" t="str">
        <x:v>Finde den Schweizer Datensatz: Fiscal Data Package 2017 Budget und Rechnung CSV</x:v>
      </x:c>
      <x:c r="E64" s="25" t="str">
        <x:v>ckan:fiscal-data-package-kanton-basel-stadt:76c5c078-2d6d-4035-bf58-e391fbaea479</x:v>
      </x:c>
      <x:c r="F64" s="25" t="str">
        <x:v>Fiscal Data Package 2017 Budget und Rechnung CSV</x:v>
      </x:c>
      <x:c r="G64" s="25" t="str">
        <x:v>kanton-basel-stadt</x:v>
      </x:c>
      <x:c r="H64" s="25" t="str">
        <x:v>https://opendata.swiss/de/dataset/fiscal-data-package-kanton-basel-stadt</x:v>
      </x:c>
      <x:c r="I64" s="25" t="str">
        <x:v>Freigegeben</x:v>
      </x:c>
      <x:c r="J64" s="25" t="str">
        <x:v>Manuell gegen Titel, Publisher, Katalogprofil, Einsatzbereitschaft und Eindeutigkeit geprüft.</x:v>
      </x:c>
    </x:row>
    <x:row r="65">
      <x:c r="A65" s="24" t="str">
        <x:v>q064_de_direct</x:v>
      </x:c>
      <x:c r="B65" s="24" t="str">
        <x:v>de</x:v>
      </x:c>
      <x:c r="C65" s="24" t="str">
        <x:v>direct</x:v>
      </x:c>
      <x:c r="D65" s="25" t="str">
        <x:v>Finde den Schweizer Datensatz: Votations cantonales fribourgeoises par commune, dès 2015</x:v>
      </x:c>
      <x:c r="E65" s="25" t="str">
        <x:v>ckan:freiburger-kantonale-abstimmungen-nach-gemeinden-ab-2015:8e41cc50-3280-45ef-ab69-ee1de68944e5</x:v>
      </x:c>
      <x:c r="F65" s="25" t="str">
        <x:v>Votations cantonales fribourgeoises par commune, dès 2015</x:v>
      </x:c>
      <x:c r="G65" s="25" t="str">
        <x:v>Amt für Statistik und Daten Freiburg</x:v>
      </x:c>
      <x:c r="H65" s="25" t="str">
        <x:v>https://opendata.swiss/de/dataset/freiburger-kantonale-abstimmungen-nach-gemeinden-ab-2015</x:v>
      </x:c>
      <x:c r="I65" s="25" t="str">
        <x:v>Freigegeben</x:v>
      </x:c>
      <x:c r="J65" s="25" t="str">
        <x:v>Manuell gegen Titel, Publisher, Katalogprofil, Einsatzbereitschaft und Eindeutigkeit geprüft.</x:v>
      </x:c>
    </x:row>
    <x:row r="66">
      <x:c r="A66" s="24" t="str">
        <x:v>q065_de_direct</x:v>
      </x:c>
      <x:c r="B66" s="24" t="str">
        <x:v>de</x:v>
      </x:c>
      <x:c r="C66" s="24" t="str">
        <x:v>direct</x:v>
      </x:c>
      <x:c r="D66" s="25" t="str">
        <x:v>Finde den Schweizer Datensatz: Fuss__und_Velowegnetz.json</x:v>
      </x:c>
      <x:c r="E66" s="25" t="str">
        <x:v>ckan:fuss-und-velowegnetz:67861b9c-edf6-4bb2-af77-593f20aa5f91</x:v>
      </x:c>
      <x:c r="F66" s="25" t="str">
        <x:v>Fuss__und_Velowegnetz.json</x:v>
      </x:c>
      <x:c r="G66" s="25" t="str">
        <x:v>stadt-zurich</x:v>
      </x:c>
      <x:c r="H66" s="25" t="str">
        <x:v>https://opendata.swiss/de/dataset/fuss-und-velowegnetz</x:v>
      </x:c>
      <x:c r="I66" s="25" t="str">
        <x:v>Freigegeben</x:v>
      </x:c>
      <x:c r="J66" s="25" t="str">
        <x:v>Manuell gegen Titel, Publisher, Katalogprofil, Einsatzbereitschaft und Eindeutigkeit geprüft.</x:v>
      </x:c>
    </x:row>
    <x:row r="67">
      <x:c r="A67" s="24" t="str">
        <x:v>q066_de_direct</x:v>
      </x:c>
      <x:c r="B67" s="24" t="str">
        <x:v>de</x:v>
      </x:c>
      <x:c r="C67" s="24" t="str">
        <x:v>direct</x:v>
      </x:c>
      <x:c r="D67" s="25" t="str">
        <x:v>Finde den Schweizer Datensatz: Bâtiments selon le type de propriétaire, la branche d'activité économique (NOGA) et le type de communauté, par canton</x:v>
      </x:c>
      <x:c r="E67" s="25" t="str">
        <x:v>ckan:gebaude-nach-eigentumertyp-wirtschaftszweige-noga-und-gemeinschaftstyp-nach-kanton-2:3db139e0-5385-4dbb-b0ad-78665adbfc47</x:v>
      </x:c>
      <x:c r="F67" s="25" t="str">
        <x:v>Bâtiments selon le type de propriétaire, la branche d'activité économique (NOGA) et le type de communauté, par canton</x:v>
      </x:c>
      <x:c r="G67" s="25" t="str">
        <x:v>bundesamt-fur-statistik-bfs</x:v>
      </x:c>
      <x:c r="H67" s="25" t="str">
        <x:v>https://opendata.swiss/de/dataset/gebaude-nach-eigentumertyp-wirtschaftszweige-noga-und-gemeinschaftstyp-nach-kanton-2</x:v>
      </x:c>
      <x:c r="I67" s="25" t="str">
        <x:v>Freigegeben</x:v>
      </x:c>
      <x:c r="J67" s="25" t="str">
        <x:v>Manuell gegen Titel, Publisher, Katalogprofil, Einsatzbereitschaft und Eindeutigkeit geprüft.</x:v>
      </x:c>
    </x:row>
    <x:row r="68">
      <x:c r="A68" s="24" t="str">
        <x:v>q067_de_direct</x:v>
      </x:c>
      <x:c r="B68" s="24" t="str">
        <x:v>de</x:v>
      </x:c>
      <x:c r="C68" s="24" t="str">
        <x:v>direct</x:v>
      </x:c>
      <x:c r="D68" s="25" t="str">
        <x:v>Finde den Schweizer Datensatz: Gemeindefinanzstatistik Kanton Luzern: Budgets</x:v>
      </x:c>
      <x:c r="E68" s="25" t="str">
        <x:v>ckan:gemeindefinanzstatistik-kanton-luzern-budgets:7c2dcfaa-08eb-4fee-bb3d-55ad77e459a3</x:v>
      </x:c>
      <x:c r="F68" s="25" t="str">
        <x:v>Gemeindefinanzstatistik Kanton Luzern: Budgets</x:v>
      </x:c>
      <x:c r="G68" s="25" t="str">
        <x:v>LUSTAT Statistik Luzern</x:v>
      </x:c>
      <x:c r="H68" s="25" t="str">
        <x:v>https://opendata.swiss/de/dataset/gemeindefinanzstatistik-kanton-luzern-budgets</x:v>
      </x:c>
      <x:c r="I68" s="25" t="str">
        <x:v>Freigegeben</x:v>
      </x:c>
      <x:c r="J68" s="25" t="str">
        <x:v>Manuell gegen Titel, Publisher, Katalogprofil, Einsatzbereitschaft und Eindeutigkeit geprüft.</x:v>
      </x:c>
    </x:row>
    <x:row r="69">
      <x:c r="A69" s="24" t="str">
        <x:v>q068_de_direct</x:v>
      </x:c>
      <x:c r="B69" s="24" t="str">
        <x:v>de</x:v>
      </x:c>
      <x:c r="C69" s="24" t="str">
        <x:v>direct</x:v>
      </x:c>
      <x:c r="D69" s="25" t="str">
        <x:v>Finde Resultate der Genfer Wahlen vom 7. März 2021.</x:v>
      </x:c>
      <x:c r="E69" s="25" t="str">
        <x:v>ckan:geneva-elections-results-for-march-7th-2021:1215f32e-913b-4d5c-9ac4-4bbb4aa70fa8</x:v>
      </x:c>
      <x:c r="F69" s="25" t="str">
        <x:v>Resultate der Genf 7. M?rz 2021 Wahlen</x:v>
      </x:c>
      <x:c r="G69" s="25" t="str">
        <x:v>administration-cantonale-geneve</x:v>
      </x:c>
      <x:c r="H69" s="25" t="str">
        <x:v>https://opendata.swiss/de/dataset/geneva-elections-results-for-march-7th-2021</x:v>
      </x:c>
      <x:c r="I69" s="25" t="str">
        <x:v>Freigegeben</x:v>
      </x:c>
      <x:c r="J69" s="25" t="str">
        <x:v>Manuell gegen Titel, Publisher, Katalogprofil, Einsatzbereitschaft und Eindeutigkeit geprüft.</x:v>
      </x:c>
    </x:row>
    <x:row r="70">
      <x:c r="A70" s="24" t="str">
        <x:v>q069_de_direct</x:v>
      </x:c>
      <x:c r="B70" s="24" t="str">
        <x:v>de</x:v>
      </x:c>
      <x:c r="C70" s="24" t="str">
        <x:v>direct</x:v>
      </x:c>
      <x:c r="D70" s="25" t="str">
        <x:v>Finde den Schweizer Datensatz: gesetz-ueber-die-gebietsreform-im-kanton-graubuenden-mantelgesetz-ueber-die-gebietsreform.csv</x:v>
      </x:c>
      <x:c r="E70" s="25" t="str">
        <x:v>ckan:gesetz-uber-die-gebietsreform-im-kanton-graubunden-mantelgesetz-uber-die-gebietsreform:53d313f9-c320-4cec-aac1-a2412b49ac46</x:v>
      </x:c>
      <x:c r="F70" s="25" t="str">
        <x:v>gesetz-ueber-die-gebietsreform-im-kanton-graubuenden-mantelgesetz-ueber-die-gebietsreform.csv</x:v>
      </x:c>
      <x:c r="G70" s="25" t="str">
        <x:v>standeskanzlei-graubuenden</x:v>
      </x:c>
      <x:c r="H70" s="25" t="str">
        <x:v>https://opendata.swiss/de/dataset/gesetz-uber-die-gebietsreform-im-kanton-graubunden-mantelgesetz-uber-die-gebietsreform</x:v>
      </x:c>
      <x:c r="I70" s="25" t="str">
        <x:v>Freigegeben</x:v>
      </x:c>
      <x:c r="J70" s="25" t="str">
        <x:v>Manuell gegen Titel, Publisher, Katalogprofil, Einsatzbereitschaft und Eindeutigkeit geprüft.</x:v>
      </x:c>
    </x:row>
    <x:row r="71">
      <x:c r="A71" s="24" t="str">
        <x:v>q070_de_direct</x:v>
      </x:c>
      <x:c r="B71" s="24" t="str">
        <x:v>de</x:v>
      </x:c>
      <x:c r="C71" s="24" t="str">
        <x:v>direct</x:v>
      </x:c>
      <x:c r="D71" s="25" t="str">
        <x:v>Finde den Schweizer Datensatz: Gender equality in a European comparison</x:v>
      </x:c>
      <x:c r="E71" s="25" t="str">
        <x:v>ckan:gleichstellung-von-frau-und-mann-im-europaischen-vergleich4:a0c136fb-3e56-46eb-9ade-8d9e5cea91ab</x:v>
      </x:c>
      <x:c r="F71" s="25" t="str">
        <x:v>Gender equality in a European comparison</x:v>
      </x:c>
      <x:c r="G71" s="25" t="str">
        <x:v>bundesamt-fur-statistik-bfs</x:v>
      </x:c>
      <x:c r="H71" s="25" t="str">
        <x:v>https://opendata.swiss/de/dataset/gleichstellung-von-frau-und-mann-im-europaischen-vergleich4</x:v>
      </x:c>
      <x:c r="I71" s="25" t="str">
        <x:v>Freigegeben</x:v>
      </x:c>
      <x:c r="J71" s="25" t="str">
        <x:v>Manuell gegen Titel, Publisher, Katalogprofil, Einsatzbereitschaft und Eindeutigkeit geprüft.</x:v>
      </x:c>
    </x:row>
    <x:row r="72">
      <x:c r="A72" s="24" t="str">
        <x:v>q071_de_direct</x:v>
      </x:c>
      <x:c r="B72" s="24" t="str">
        <x:v>de</x:v>
      </x:c>
      <x:c r="C72" s="24" t="str">
        <x:v>direct</x:v>
      </x:c>
      <x:c r="D72" s="25" t="str">
        <x:v>Finde den Schweizer Datensatz: Grossratswahlen 2008: Kandidatenstimmen nach Herkunft der Stimmen (Panaschierstatistik) Bezirk Münchwilen</x:v>
      </x:c>
      <x:c r="E72" s="25" t="str">
        <x:v>ckan:grossratswahlen-2008-kandidatenstimmen-nach-herkunft-der-stimmen-panaschierstatistik-bezirk-mun:d5deee73-bc97-4418-a22b-ad2aef7b8952</x:v>
      </x:c>
      <x:c r="F72" s="25" t="str">
        <x:v>Grossratswahlen 2008: Kandidatenstimmen nach Herkunft der Stimmen (Panaschierstatistik) Bezirk Münchwilen</x:v>
      </x:c>
      <x:c r="G72" s="25" t="str">
        <x:v>kanton-thurgau</x:v>
      </x:c>
      <x:c r="H72" s="25" t="str">
        <x:v>https://opendata.swiss/de/dataset/grossratswahlen-2008-kandidatenstimmen-nach-herkunft-der-stimmen-panaschierstatistik-bezirk-mun</x:v>
      </x:c>
      <x:c r="I72" s="25" t="str">
        <x:v>Freigegeben</x:v>
      </x:c>
      <x:c r="J72" s="25" t="str">
        <x:v>Manuell gegen Titel, Publisher, Katalogprofil, Einsatzbereitschaft und Eindeutigkeit geprüft.</x:v>
      </x:c>
    </x:row>
    <x:row r="73">
      <x:c r="A73" s="24" t="str">
        <x:v>q072_de_direct</x:v>
      </x:c>
      <x:c r="B73" s="24" t="str">
        <x:v>de</x:v>
      </x:c>
      <x:c r="C73" s="24" t="str">
        <x:v>direct</x:v>
      </x:c>
      <x:c r="D73" s="25" t="str">
        <x:v>Finde den Schweizer Datensatz: Grossratswahlen Kanton Thurgau: Mandatsverteilung nach Parteien und Geschlecht auf Ebene Kanton</x:v>
      </x:c>
      <x:c r="E73" s="25" t="str">
        <x:v>ckan:grossratswahlen-kanton-thurgau-mandatsverteilung-nach-parteien-und-geschlecht-auf-ebene-kanton:8a1d716a-6cd5-475e-b13b-47d79f31932d</x:v>
      </x:c>
      <x:c r="F73" s="25" t="str">
        <x:v>Grossratswahlen Kanton Thurgau: Mandatsverteilung nach Parteien und Geschlecht auf Ebene Kanton</x:v>
      </x:c>
      <x:c r="G73" s="25" t="str">
        <x:v>kanton-thurgau</x:v>
      </x:c>
      <x:c r="H73" s="25" t="str">
        <x:v>https://opendata.swiss/de/dataset/grossratswahlen-kanton-thurgau-mandatsverteilung-nach-parteien-und-geschlecht-auf-ebene-kanton</x:v>
      </x:c>
      <x:c r="I73" s="25" t="str">
        <x:v>Freigegeben</x:v>
      </x:c>
      <x:c r="J73" s="25" t="str">
        <x:v>Manuell gegen Titel, Publisher, Katalogprofil, Einsatzbereitschaft und Eindeutigkeit geprüft.</x:v>
      </x:c>
    </x:row>
    <x:row r="74">
      <x:c r="A74" s="24" t="str">
        <x:v>q073_de_direct</x:v>
      </x:c>
      <x:c r="B74" s="24" t="str">
        <x:v>de</x:v>
      </x:c>
      <x:c r="C74" s="24" t="str">
        <x:v>direct</x:v>
      </x:c>
      <x:c r="D74" s="25" t="str">
        <x:v>Finde den Schweizer Datensatz: Taux de création de nouvelles entreprises, dès 2013</x:v>
      </x:c>
      <x:c r="E74" s="25" t="str">
        <x:v>ckan:grundungsrate-neuer-unternehmen-ab-2013:cb0faf42-b441-4867-b137-535dc5930a8a</x:v>
      </x:c>
      <x:c r="F74" s="25" t="str">
        <x:v>Taux de création de nouvelles entreprises, dès 2013</x:v>
      </x:c>
      <x:c r="G74" s="25" t="str">
        <x:v>ssd</x:v>
      </x:c>
      <x:c r="H74" s="25" t="str">
        <x:v>https://opendata.swiss/de/dataset/grundungsrate-neuer-unternehmen-ab-2013</x:v>
      </x:c>
      <x:c r="I74" s="25" t="str">
        <x:v>Freigegeben</x:v>
      </x:c>
      <x:c r="J74" s="25" t="str">
        <x:v>Manuell gegen Titel, Publisher, Katalogprofil, Einsatzbereitschaft und Eindeutigkeit geprüft.</x:v>
      </x:c>
    </x:row>
    <x:row r="75">
      <x:c r="A75" s="24" t="str">
        <x:v>q074_de_direct</x:v>
      </x:c>
      <x:c r="B75" s="24" t="str">
        <x:v>de</x:v>
      </x:c>
      <x:c r="C75" s="24" t="str">
        <x:v>direct</x:v>
      </x:c>
      <x:c r="D75" s="25" t="str">
        <x:v>Finde den Schweizer Datensatz: Hauptarbeitsort nach Geschlecht, Nationalität, Altersgruppen, Familientyp</x:v>
      </x:c>
      <x:c r="E75" s="25" t="str">
        <x:v>ckan:hauptarbeitsort-nach-geschlecht-nationalitat-altersgruppen-familientyp4:bdbb3e25-f051-4760-8f27-a43043eec7c5</x:v>
      </x:c>
      <x:c r="F75" s="25" t="str">
        <x:v>Hauptarbeitsort nach Geschlecht, Nationalität, Altersgruppen, Familientyp</x:v>
      </x:c>
      <x:c r="G75" s="25" t="str">
        <x:v>bundesamt-fur-statistik-bfs</x:v>
      </x:c>
      <x:c r="H75" s="25" t="str">
        <x:v>https://opendata.swiss/de/dataset/hauptarbeitsort-nach-geschlecht-nationalitat-altersgruppen-familientyp4</x:v>
      </x:c>
      <x:c r="I75" s="25" t="str">
        <x:v>Freigegeben</x:v>
      </x:c>
      <x:c r="J75" s="25" t="str">
        <x:v>Manuell gegen Titel, Publisher, Katalogprofil, Einsatzbereitschaft und Eindeutigkeit geprüft.</x:v>
      </x:c>
    </x:row>
    <x:row r="76">
      <x:c r="A76" s="24" t="str">
        <x:v>q075_de_direct</x:v>
      </x:c>
      <x:c r="B76" s="24" t="str">
        <x:v>de</x:v>
      </x:c>
      <x:c r="C76" s="24" t="str">
        <x:v>direct</x:v>
      </x:c>
      <x:c r="D76" s="25" t="str">
        <x:v>Finde den Schweizer Datensatz: Violenza domestica: Reati violenti registrati dalla polizia secondo la relazione</x:v>
      </x:c>
      <x:c r="E76" s="25" t="str">
        <x:v>ckan:hausliche-gewalt-polizeilich-registrierte-gewaltstraftaten-nach-beziehung2:bf5993f7-108a-4a15-8382-ef2c47fd77aa</x:v>
      </x:c>
      <x:c r="F76" s="25" t="str">
        <x:v>Violenza domestica: Reati violenti registrati dalla polizia secondo la relazione</x:v>
      </x:c>
      <x:c r="G76" s="25" t="str">
        <x:v>bundesamt-fur-statistik-bfs</x:v>
      </x:c>
      <x:c r="H76" s="25" t="str">
        <x:v>https://opendata.swiss/de/dataset/hausliche-gewalt-polizeilich-registrierte-gewaltstraftaten-nach-beziehung2</x:v>
      </x:c>
      <x:c r="I76" s="25" t="str">
        <x:v>Freigegeben</x:v>
      </x:c>
      <x:c r="J76" s="25" t="str">
        <x:v>Manuell gegen Titel, Publisher, Katalogprofil, Einsatzbereitschaft und Eindeutigkeit geprüft.</x:v>
      </x:c>
    </x:row>
    <x:row r="77">
      <x:c r="A77" s="24" t="str">
        <x:v>q076_de_direct</x:v>
      </x:c>
      <x:c r="B77" s="24" t="str">
        <x:v>de</x:v>
      </x:c>
      <x:c r="C77" s="24" t="str">
        <x:v>direct</x:v>
      </x:c>
      <x:c r="D77" s="25" t="str">
        <x:v>Finde den Schweizer Datensatz: Holzernte nach Kantonen</x:v>
      </x:c>
      <x:c r="E77" s="25" t="str">
        <x:v>ckan:holzernte-nach-kantonen5-1:abd2d9c4-9d8e-4f03-aa94-b73b28180328</x:v>
      </x:c>
      <x:c r="F77" s="25" t="str">
        <x:v>Holzernte nach Kantonen</x:v>
      </x:c>
      <x:c r="G77" s="25" t="str">
        <x:v>bundesamt-fur-statistik-bfs</x:v>
      </x:c>
      <x:c r="H77" s="25" t="str">
        <x:v>https://opendata.swiss/de/dataset/holzernte-nach-kantonen5-1</x:v>
      </x:c>
      <x:c r="I77" s="25" t="str">
        <x:v>Freigegeben</x:v>
      </x:c>
      <x:c r="J77" s="25" t="str">
        <x:v>Manuell gegen Titel, Publisher, Katalogprofil, Einsatzbereitschaft und Eindeutigkeit geprüft.</x:v>
      </x:c>
    </x:row>
    <x:row r="78">
      <x:c r="A78" s="24" t="str">
        <x:v>q077_de_direct</x:v>
      </x:c>
      <x:c r="B78" s="24" t="str">
        <x:v>de</x:v>
      </x:c>
      <x:c r="C78" s="24" t="str">
        <x:v>direct</x:v>
      </x:c>
      <x:c r="D78" s="25" t="str">
        <x:v>Finde den Schweizer Datensatz: Abfrageberechtigte Stellen im kantonalen Personenregister arbo</x:v>
      </x:c>
      <x:c r="E78" s="25" t="str">
        <x:v>ckan:im-kantonalen-personenregister-abfrageberechtigte-stellen-anmeldungs-und-registerverord-07-2024:f829fffa-0e42-4f7b-9f62-3042a7971426</x:v>
      </x:c>
      <x:c r="F78" s="25" t="str">
        <x:v>Abfrageberechtigte Stellen im kantonalen Personenregister arbo</x:v>
      </x:c>
      <x:c r="G78" s="25" t="str">
        <x:v>kanton-basel-landschaft</x:v>
      </x:c>
      <x:c r="H78" s="25" t="str">
        <x:v>https://opendata.swiss/de/dataset/im-kantonalen-personenregister-abfrageberechtigte-stellen-anmeldungs-und-registerverord-07-2024</x:v>
      </x:c>
      <x:c r="I78" s="25" t="str">
        <x:v>Freigegeben</x:v>
      </x:c>
      <x:c r="J78" s="25" t="str">
        <x:v>Manuell gegen Titel, Publisher, Katalogprofil, Einsatzbereitschaft und Eindeutigkeit geprüft.</x:v>
      </x:c>
    </x:row>
    <x:row r="79">
      <x:c r="A79" s="24" t="str">
        <x:v>q078_de_direct</x:v>
      </x:c>
      <x:c r="B79" s="24" t="str">
        <x:v>de</x:v>
      </x:c>
      <x:c r="C79" s="24" t="str">
        <x:v>direct</x:v>
      </x:c>
      <x:c r="D79" s="25" t="str">
        <x:v>Finde den Schweizer Datensatz: Commerce international, dès 2016</x:v>
      </x:c>
      <x:c r="E79" s="25" t="str">
        <x:v>ckan:internationaler-handel-ab-2016:5f872901-27b0-4e86-9af4-50453e0a9a53</x:v>
      </x:c>
      <x:c r="F79" s="25" t="str">
        <x:v>Commerce international, dès 2016</x:v>
      </x:c>
      <x:c r="G79" s="25" t="str">
        <x:v>ssd</x:v>
      </x:c>
      <x:c r="H79" s="25" t="str">
        <x:v>https://opendata.swiss/de/dataset/internationaler-handel-ab-2016</x:v>
      </x:c>
      <x:c r="I79" s="25" t="str">
        <x:v>Freigegeben</x:v>
      </x:c>
      <x:c r="J79" s="25" t="str">
        <x:v>Manuell gegen Titel, Publisher, Katalogprofil, Einsatzbereitschaft und Eindeutigkeit geprüft.</x:v>
      </x:c>
    </x:row>
    <x:row r="80">
      <x:c r="A80" s="24" t="str">
        <x:v>q079_de_direct</x:v>
      </x:c>
      <x:c r="B80" s="24" t="str">
        <x:v>de</x:v>
      </x:c>
      <x:c r="C80" s="24" t="str">
        <x:v>direct</x:v>
      </x:c>
      <x:c r="D80" s="25" t="str">
        <x:v>Finde den Schweizer Datensatz: 2026-05-30_IstDaten.csv</x:v>
      </x:c>
      <x:c r="E80" s="25" t="str">
        <x:v>ckan:ist-daten-v2:44291c45-6bfd-4769-b359-e2c455d7a50d</x:v>
      </x:c>
      <x:c r="F80" s="25" t="str">
        <x:v>2026-05-30_IstDaten.csv</x:v>
      </x:c>
      <x:c r="G80" s="25" t="str">
        <x:v>oevch</x:v>
      </x:c>
      <x:c r="H80" s="25" t="str">
        <x:v>https://opendata.swiss/de/dataset/ist-daten-v2</x:v>
      </x:c>
      <x:c r="I80" s="25" t="str">
        <x:v>Freigegeben</x:v>
      </x:c>
      <x:c r="J80" s="25" t="str">
        <x:v>Manuell gegen Titel, Publisher, Katalogprofil, Einsatzbereitschaft und Eindeutigkeit geprüft.</x:v>
      </x:c>
    </x:row>
    <x:row r="81">
      <x:c r="A81" s="24" t="str">
        <x:v>q080_de_direct</x:v>
      </x:c>
      <x:c r="B81" s="24" t="str">
        <x:v>de</x:v>
      </x:c>
      <x:c r="C81" s="24" t="str">
        <x:v>direct</x:v>
      </x:c>
      <x:c r="D81" s="25" t="str">
        <x:v>Finde den Schweizer Datensatz: Jugendsanktionsvollzug: Strafrechtlich platzierte Jugendliche am Stichtag nach Platzierungsart [ab 2010]</x:v>
      </x:c>
      <x:c r="E81" s="25" t="str">
        <x:v>ckan:jugendsanktionsvollzug-strafrechtlich-platzierte-jugendliche-am-stichtag-nach-platzierungs-20101:510c0832-512b-4d52-be7d-9eb1f5065e56</x:v>
      </x:c>
      <x:c r="F81" s="25" t="str">
        <x:v>Jugendsanktionsvollzug: Strafrechtlich platzierte Jugendliche am Stichtag nach Platzierungsart [ab 2010]</x:v>
      </x:c>
      <x:c r="G81" s="25" t="str">
        <x:v>bundesamt-fur-statistik-bfs</x:v>
      </x:c>
      <x:c r="H81" s="25" t="str">
        <x:v>https://opendata.swiss/de/dataset/jugendsanktionsvollzug-strafrechtlich-platzierte-jugendliche-am-stichtag-nach-platzierungs-20101</x:v>
      </x:c>
      <x:c r="I81" s="25" t="str">
        <x:v>Freigegeben</x:v>
      </x:c>
      <x:c r="J81" s="25" t="str">
        <x:v>Manuell gegen Titel, Publisher, Katalogprofil, Einsatzbereitschaft und Eindeutigkeit geprüft.</x:v>
      </x:c>
    </x:row>
    <x:row r="82">
      <x:c r="A82" s="24" t="str">
        <x:v>q081_de_direct</x:v>
      </x:c>
      <x:c r="B82" s="24" t="str">
        <x:v>de</x:v>
      </x:c>
      <x:c r="C82" s="24" t="str">
        <x:v>direct</x:v>
      </x:c>
      <x:c r="D82" s="25" t="str">
        <x:v>Finde den Schweizer Datensatz: Canton de Appenzell Rh.-Ext: Vie active et formation</x:v>
      </x:c>
      <x:c r="E82" s="25" t="str">
        <x:v>ckan:kanton-appenzell-a-rh-erwerbsleben-und-ausbildung:3fbcc934-f8ba-43e4-b344-33248cfc4739</x:v>
      </x:c>
      <x:c r="F82" s="25" t="str">
        <x:v>Canton de Appenzell Rh.-Ext: Vie active et formation</x:v>
      </x:c>
      <x:c r="G82" s="25" t="str">
        <x:v>bundesamt-fur-statistik-bfs</x:v>
      </x:c>
      <x:c r="H82" s="25" t="str">
        <x:v>https://opendata.swiss/de/dataset/kanton-appenzell-a-rh-erwerbsleben-und-ausbildung</x:v>
      </x:c>
      <x:c r="I82" s="25" t="str">
        <x:v>Freigegeben</x:v>
      </x:c>
      <x:c r="J82" s="25" t="str">
        <x:v>Manuell gegen Titel, Publisher, Katalogprofil, Einsatzbereitschaft und Eindeutigkeit geprüft.</x:v>
      </x:c>
    </x:row>
    <x:row r="83">
      <x:c r="A83" s="24" t="str">
        <x:v>q082_de_direct</x:v>
      </x:c>
      <x:c r="B83" s="24" t="str">
        <x:v>de</x:v>
      </x:c>
      <x:c r="C83" s="24" t="str">
        <x:v>direct</x:v>
      </x:c>
      <x:c r="D83" s="25" t="str">
        <x:v>Finde den Schweizer Datensatz: Kanton Graubünden: Haushalte und Familien</x:v>
      </x:c>
      <x:c r="E83" s="25" t="str">
        <x:v>ckan:kanton-graubunden-haushalte-und-familien:e860c24b-4510-4750-9205-d6c47f7637e8</x:v>
      </x:c>
      <x:c r="F83" s="25" t="str">
        <x:v>Kanton Graubünden: Haushalte und Familien</x:v>
      </x:c>
      <x:c r="G83" s="25" t="str">
        <x:v>bundesamt-fur-statistik-bfs</x:v>
      </x:c>
      <x:c r="H83" s="25" t="str">
        <x:v>https://opendata.swiss/de/dataset/kanton-graubunden-haushalte-und-familien</x:v>
      </x:c>
      <x:c r="I83" s="25" t="str">
        <x:v>Freigegeben</x:v>
      </x:c>
      <x:c r="J83" s="25" t="str">
        <x:v>Manuell gegen Titel, Publisher, Katalogprofil, Einsatzbereitschaft und Eindeutigkeit geprüft.</x:v>
      </x:c>
    </x:row>
    <x:row r="84">
      <x:c r="A84" s="24" t="str">
        <x:v>q083_de_direct</x:v>
      </x:c>
      <x:c r="B84" s="24" t="str">
        <x:v>de</x:v>
      </x:c>
      <x:c r="C84" s="24" t="str">
        <x:v>direct</x:v>
      </x:c>
      <x:c r="D84" s="25" t="str">
        <x:v>Finde den Schweizer Datensatz: Kanton Solothurn: Wohnbevölkerung nach Hauptsprache, Religion, Nationalität und weiteren Merkmalen</x:v>
      </x:c>
      <x:c r="E84" s="25" t="str">
        <x:v>ckan:kanton-solothurn-wohnbevolkerung-nach-hauptsprache-religion-nationalitat-und-weiteren-merkmalen:fdfe476b-5e17-44a0-ad3b-a51bd797a690</x:v>
      </x:c>
      <x:c r="F84" s="25" t="str">
        <x:v>Kanton Solothurn: Wohnbevölkerung nach Hauptsprache, Religion, Nationalität und weiteren Merkmalen</x:v>
      </x:c>
      <x:c r="G84" s="25" t="str">
        <x:v>bundesamt-fur-statistik-bfs</x:v>
      </x:c>
      <x:c r="H84" s="25" t="str">
        <x:v>https://opendata.swiss/de/dataset/kanton-solothurn-wohnbevolkerung-nach-hauptsprache-religion-nationalitat-und-weiteren-merkmalen</x:v>
      </x:c>
      <x:c r="I84" s="25" t="str">
        <x:v>Freigegeben</x:v>
      </x:c>
      <x:c r="J84" s="25" t="str">
        <x:v>Manuell gegen Titel, Publisher, Katalogprofil, Einsatzbereitschaft und Eindeutigkeit geprüft.</x:v>
      </x:c>
    </x:row>
    <x:row r="85">
      <x:c r="A85" s="24" t="str">
        <x:v>q084_de_direct</x:v>
      </x:c>
      <x:c r="B85" s="24" t="str">
        <x:v>de</x:v>
      </x:c>
      <x:c r="C85" s="24" t="str">
        <x:v>direct</x:v>
      </x:c>
      <x:c r="D85" s="25" t="str">
        <x:v>Finde den Schweizer Datensatz: Canton de Zurich: Population selon la langue principale, la religion, la nationalité et autres caractères</x:v>
      </x:c>
      <x:c r="E85" s="25" t="str">
        <x:v>ckan:kanton-zurich-wohnbevolkerung-nach-hauptsprache-religion-nationalitat-und-weiteren-merkmalen:32aedec8-c942-4ee8-bdd7-e73cf847ad11</x:v>
      </x:c>
      <x:c r="F85" s="25" t="str">
        <x:v>Canton de Zurich: Population selon la langue principale, la religion, la nationalité et autres caractères</x:v>
      </x:c>
      <x:c r="G85" s="25" t="str">
        <x:v>bundesamt-fur-statistik-bfs</x:v>
      </x:c>
      <x:c r="H85" s="25" t="str">
        <x:v>https://opendata.swiss/de/dataset/kanton-zurich-wohnbevolkerung-nach-hauptsprache-religion-nationalitat-und-weiteren-merkmalen</x:v>
      </x:c>
      <x:c r="I85" s="25" t="str">
        <x:v>Freigegeben</x:v>
      </x:c>
      <x:c r="J85" s="25" t="str">
        <x:v>Manuell gegen Titel, Publisher, Katalogprofil, Einsatzbereitschaft und Eindeutigkeit geprüft.</x:v>
      </x:c>
    </x:row>
    <x:row r="86">
      <x:c r="A86" s="24" t="str">
        <x:v>q085_de_direct</x:v>
      </x:c>
      <x:c r="B86" s="24" t="str">
        <x:v>de</x:v>
      </x:c>
      <x:c r="C86" s="24" t="str">
        <x:v>direct</x:v>
      </x:c>
      <x:c r="D86" s="25" t="str">
        <x:v>Finde den Schweizer Datensatz: Kantonaler Stromverbrauch</x:v>
      </x:c>
      <x:c r="E86" s="25" t="str">
        <x:v>ckan:kantonaler-stromverbrauch-netzlast:b1cd7c2c-2d3c-44b7-8d87-639d76ad0bdf</x:v>
      </x:c>
      <x:c r="F86" s="25" t="str">
        <x:v>Kantonaler Stromverbrauch</x:v>
      </x:c>
      <x:c r="G86" s="25" t="str">
        <x:v>kanton-basel-stadt</x:v>
      </x:c>
      <x:c r="H86" s="25" t="str">
        <x:v>https://opendata.swiss/de/dataset/kantonaler-stromverbrauch-netzlast</x:v>
      </x:c>
      <x:c r="I86" s="25" t="str">
        <x:v>Freigegeben</x:v>
      </x:c>
      <x:c r="J86" s="25" t="str">
        <x:v>Manuell gegen Titel, Publisher, Katalogprofil, Einsatzbereitschaft und Eindeutigkeit geprüft.</x:v>
      </x:c>
    </x:row>
    <x:row r="87">
      <x:c r="A87" s="24" t="str">
        <x:v>q086_de_direct</x:v>
      </x:c>
      <x:c r="B87" s="24" t="str">
        <x:v>de</x:v>
      </x:c>
      <x:c r="C87" s="24" t="str">
        <x:v>direct</x:v>
      </x:c>
      <x:c r="D87" s="25" t="str">
        <x:v>Finde den Schweizer Datensatz: kantonsratswahl-2018-gde-steinhausen.json</x:v>
      </x:c>
      <x:c r="E87" s="25" t="str">
        <x:v>ckan:kantonsratswahl-2018-gde-steinhausen:067846b5-6f73-4ca6-a669-e70c7d8405b5</x:v>
      </x:c>
      <x:c r="F87" s="25" t="str">
        <x:v>kantonsratswahl-2018-gde-steinhausen.json</x:v>
      </x:c>
      <x:c r="G87" s="25" t="str">
        <x:v>staatskanzlei-zug</x:v>
      </x:c>
      <x:c r="H87" s="25" t="str">
        <x:v>https://opendata.swiss/de/dataset/kantonsratswahl-2018-gde-steinhausen</x:v>
      </x:c>
      <x:c r="I87" s="25" t="str">
        <x:v>Freigegeben</x:v>
      </x:c>
      <x:c r="J87" s="25" t="str">
        <x:v>Manuell gegen Titel, Publisher, Katalogprofil, Einsatzbereitschaft und Eindeutigkeit geprüft.</x:v>
      </x:c>
    </x:row>
    <x:row r="88">
      <x:c r="A88" s="24" t="str">
        <x:v>q087_de_direct</x:v>
      </x:c>
      <x:c r="B88" s="24" t="str">
        <x:v>de</x:v>
      </x:c>
      <x:c r="C88" s="24" t="str">
        <x:v>direct</x:v>
      </x:c>
      <x:c r="D88" s="25" t="str">
        <x:v>Finde den Schweizer Datensatz: Zugehörigkeit zur kantonalen Spitalliste ab 2008</x:v>
      </x:c>
      <x:c r="E88" s="25" t="str">
        <x:v>ckan:kennzahlen-der-schweizer-spitaler-2023:1565d4f3-6aea-46ce-bb44-85d1c79a62ab</x:v>
      </x:c>
      <x:c r="F88" s="25" t="str">
        <x:v>Zugehörigkeit zur kantonalen Spitalliste ab 2008</x:v>
      </x:c>
      <x:c r="G88" s="25" t="str">
        <x:v>bundesamt-fur-gesundheit-bag</x:v>
      </x:c>
      <x:c r="H88" s="25" t="str">
        <x:v>https://opendata.swiss/de/dataset/kennzahlen-der-schweizer-spitaler-2023</x:v>
      </x:c>
      <x:c r="I88" s="25" t="str">
        <x:v>Freigegeben</x:v>
      </x:c>
      <x:c r="J88" s="25" t="str">
        <x:v>Manuell gegen Titel, Publisher, Katalogprofil, Einsatzbereitschaft und Eindeutigkeit geprüft.</x:v>
      </x:c>
    </x:row>
    <x:row r="89">
      <x:c r="A89" s="24" t="str">
        <x:v>q088_de_direct</x:v>
      </x:c>
      <x:c r="B89" s="24" t="str">
        <x:v>de</x:v>
      </x:c>
      <x:c r="C89" s="24" t="str">
        <x:v>direct</x:v>
      </x:c>
      <x:c r="D89" s="25" t="str">
        <x:v>Finde den Schweizer Datensatz: Geoparquet-Datei - Lärmempfindlichkeitsstufen</x:v>
      </x:c>
      <x:c r="E89" s="25" t="str">
        <x:v>ckan:kommunale-nutzungsplanung:e97414be-c8cd-4287-9bfa-5ea72812f1f7</x:v>
      </x:c>
      <x:c r="F89" s="25" t="str">
        <x:v>Geoparquet-Datei - Lärmempfindlichkeitsstufen</x:v>
      </x:c>
      <x:c r="G89" s="25" t="str">
        <x:v>amt-fuer-geoinformation-des-kantons-bern</x:v>
      </x:c>
      <x:c r="H89" s="25" t="str">
        <x:v>https://opendata.swiss/de/dataset/kommunale-nutzungsplanung</x:v>
      </x:c>
      <x:c r="I89" s="25" t="str">
        <x:v>Freigegeben</x:v>
      </x:c>
      <x:c r="J89" s="25" t="str">
        <x:v>Manuell gegen Titel, Publisher, Katalogprofil, Einsatzbereitschaft und Eindeutigkeit geprüft.</x:v>
      </x:c>
    </x:row>
    <x:row r="90">
      <x:c r="A90" s="24" t="str">
        <x:v>q089_de_direct</x:v>
      </x:c>
      <x:c r="B90" s="24" t="str">
        <x:v>de</x:v>
      </x:c>
      <x:c r="C90" s="24" t="str">
        <x:v>direct</x:v>
      </x:c>
      <x:c r="D90" s="25" t="str">
        <x:v>Finde den Schweizer Datensatz: Kosten und Finanzierung des motorisierten Verkehrs - Übersicht</x:v>
      </x:c>
      <x:c r="E90" s="25" t="str">
        <x:v>ckan:kosten-und-finanzierung-des-motorisierten-verkehrs-ubersicht4:d8e61f66-819f-4f8e-8763-0aa57b81252d</x:v>
      </x:c>
      <x:c r="F90" s="25" t="str">
        <x:v>Kosten und Finanzierung des motorisierten Verkehrs - Übersicht</x:v>
      </x:c>
      <x:c r="G90" s="25" t="str">
        <x:v>bundesamt-fur-statistik-bfs</x:v>
      </x:c>
      <x:c r="H90" s="25" t="str">
        <x:v>https://opendata.swiss/de/dataset/kosten-und-finanzierung-des-motorisierten-verkehrs-ubersicht4</x:v>
      </x:c>
      <x:c r="I90" s="25" t="str">
        <x:v>Freigegeben</x:v>
      </x:c>
      <x:c r="J90" s="25" t="str">
        <x:v>Manuell gegen Titel, Publisher, Katalogprofil, Einsatzbereitschaft und Eindeutigkeit geprüft.</x:v>
      </x:c>
    </x:row>
    <x:row r="91">
      <x:c r="A91" s="24" t="str">
        <x:v>q090_de_direct</x:v>
      </x:c>
      <x:c r="B91" s="24" t="str">
        <x:v>de</x:v>
      </x:c>
      <x:c r="C91" s="24" t="str">
        <x:v>direct</x:v>
      </x:c>
      <x:c r="D91" s="25" t="str">
        <x:v>Finde den Schweizer Datensatz: landratswahlen-2003-wahlkreis-binningen-parteien.csv</x:v>
      </x:c>
      <x:c r="E91" s="25" t="str">
        <x:v>ckan:landratswahlen-2003-wahlkreis-binningen:034af2a5-fbea-4811-9c44-017f60a311ab</x:v>
      </x:c>
      <x:c r="F91" s="25" t="str">
        <x:v>landratswahlen-2003-wahlkreis-binningen-parteien.csv</x:v>
      </x:c>
      <x:c r="G91" s="25" t="str">
        <x:v>kanton-basel-landschaft</x:v>
      </x:c>
      <x:c r="H91" s="25" t="str">
        <x:v>https://opendata.swiss/de/dataset/landratswahlen-2003-wahlkreis-binningen</x:v>
      </x:c>
      <x:c r="I91" s="25" t="str">
        <x:v>Freigegeben</x:v>
      </x:c>
      <x:c r="J91" s="25" t="str">
        <x:v>Manuell gegen Titel, Publisher, Katalogprofil, Einsatzbereitschaft und Eindeutigkeit geprüft.</x:v>
      </x:c>
    </x:row>
    <x:row r="92">
      <x:c r="A92" s="24" t="str">
        <x:v>q091_fr_direct</x:v>
      </x:c>
      <x:c r="B92" s="24" t="str">
        <x:v>fr</x:v>
      </x:c>
      <x:c r="C92" s="24" t="str">
        <x:v>direct</x:v>
      </x:c>
      <x:c r="D92" s="25" t="str">
        <x:v>Trouve les résultats des élections au Landrat de 2011 dans la circonscription de Gelterkinden.</x:v>
      </x:c>
      <x:c r="E92" s="25" t="str">
        <x:v>ckan:landratswahlen-2011-wahlkreis-gelterkinden:72cba397-98bc-4a67-8507-9239a19ef1ef</x:v>
      </x:c>
      <x:c r="F92" s="25" t="str">
        <x:v>landratswahlen-2011-wahlkreis-gelterkinden.json</x:v>
      </x:c>
      <x:c r="G92" s="25" t="str">
        <x:v>kanton-basel-landschaft</x:v>
      </x:c>
      <x:c r="H92" s="25" t="str">
        <x:v>https://opendata.swiss/de/dataset/landratswahlen-2011-wahlkreis-gelterkinden</x:v>
      </x:c>
      <x:c r="I92" s="25" t="str">
        <x:v>Freigegeben</x:v>
      </x:c>
      <x:c r="J92" s="25" t="str">
        <x:v>Manuell gegen Titel, Publisher, Katalogprofil, Einsatzbereitschaft und Eindeutigkeit geprüft.</x:v>
      </x:c>
    </x:row>
    <x:row r="93">
      <x:c r="A93" s="24" t="str">
        <x:v>q092_fr_direct</x:v>
      </x:c>
      <x:c r="B93" s="24" t="str">
        <x:v>fr</x:v>
      </x:c>
      <x:c r="C93" s="24" t="str">
        <x:v>direct</x:v>
      </x:c>
      <x:c r="D93" s="25" t="str">
        <x:v>Trouve les résultats par parti des élections au Landrat de 2019 dans la circonscription de Liestal.</x:v>
      </x:c>
      <x:c r="E93" s="25" t="str">
        <x:v>ckan:landratswahlen-2019-wahlkreis-liestal:01c217e3-c449-41c3-a27f-69236bd393c6</x:v>
      </x:c>
      <x:c r="F93" s="25" t="str">
        <x:v>landratswahlen-2019-wahlkreis-liestal-parteien.csv</x:v>
      </x:c>
      <x:c r="G93" s="25" t="str">
        <x:v>kanton-basel-landschaft</x:v>
      </x:c>
      <x:c r="H93" s="25" t="str">
        <x:v>https://opendata.swiss/de/dataset/landratswahlen-2019-wahlkreis-liestal</x:v>
      </x:c>
      <x:c r="I93" s="25" t="str">
        <x:v>Freigegeben</x:v>
      </x:c>
      <x:c r="J93" s="25" t="str">
        <x:v>Manuell gegen Titel, Publisher, Katalogprofil, Einsatzbereitschaft und Eindeutigkeit geprüft.</x:v>
      </x:c>
    </x:row>
    <x:row r="94">
      <x:c r="A94" s="24" t="str">
        <x:v>q093_fr_direct</x:v>
      </x:c>
      <x:c r="B94" s="24" t="str">
        <x:v>fr</x:v>
      </x:c>
      <x:c r="C94" s="24" t="str">
        <x:v>direct</x:v>
      </x:c>
      <x:c r="D94" s="25" t="str">
        <x:v>Trouve les données de la Landsgemeinde du 1er mai 1966.</x:v>
      </x:c>
      <x:c r="E94" s="25" t="str">
        <x:v>ckan:landsgemeinde-vom-01-mai-1966:947c53fd-a3f9-4292-9f87-1687a1fbc79d</x:v>
      </x:c>
      <x:c r="F94" s="25" t="str">
        <x:v>Landsgemeinde vom 01. Mai 1966</x:v>
      </x:c>
      <x:c r="G94" s="25" t="str">
        <x:v>staatskanzlei-glarus</x:v>
      </x:c>
      <x:c r="H94" s="25" t="str">
        <x:v>https://opendata.swiss/de/dataset/landsgemeinde-vom-01-mai-1966</x:v>
      </x:c>
      <x:c r="I94" s="25" t="str">
        <x:v>Freigegeben</x:v>
      </x:c>
      <x:c r="J94" s="25" t="str">
        <x:v>Manuell gegen Titel, Publisher, Katalogprofil, Einsatzbereitschaft und Eindeutigkeit geprüft.</x:v>
      </x:c>
    </x:row>
    <x:row r="95">
      <x:c r="A95" s="24" t="str">
        <x:v>q094_fr_direct</x:v>
      </x:c>
      <x:c r="B95" s="24" t="str">
        <x:v>fr</x:v>
      </x:c>
      <x:c r="C95" s="24" t="str">
        <x:v>direct</x:v>
      </x:c>
      <x:c r="D95" s="25" t="str">
        <x:v>Trouve la surface agricole utile sans les pâturages d’estivage.</x:v>
      </x:c>
      <x:c r="E95" s="25" t="str">
        <x:v>ckan:landwirtschaftliche-nutzflache-ohne-sommerungsweiden7:0538995b-9219-4be1-935e-c9abdfc02a05</x:v>
      </x:c>
      <x:c r="F95" s="25" t="str">
        <x:v>Landwirtschaftliche Nutzfläche ohne Sömmerungsweiden</x:v>
      </x:c>
      <x:c r="G95" s="25" t="str">
        <x:v>bundesamt-fur-statistik-bfs</x:v>
      </x:c>
      <x:c r="H95" s="25" t="str">
        <x:v>https://opendata.swiss/de/dataset/landwirtschaftliche-nutzflache-ohne-sommerungsweiden7</x:v>
      </x:c>
      <x:c r="I95" s="25" t="str">
        <x:v>Freigegeben</x:v>
      </x:c>
      <x:c r="J95" s="25" t="str">
        <x:v>Manuell gegen Titel, Publisher, Katalogprofil, Einsatzbereitschaft und Eindeutigkeit geprüft.</x:v>
      </x:c>
    </x:row>
    <x:row r="96">
      <x:c r="A96" s="24" t="str">
        <x:v>q095_fr_direct</x:v>
      </x:c>
      <x:c r="B96" s="24" t="str">
        <x:v>fr</x:v>
      </x:c>
      <x:c r="C96" s="24" t="str">
        <x:v>direct</x:v>
      </x:c>
      <x:c r="D96" s="25" t="str">
        <x:v>Trouve les logements vacants selon leur mise sur le marché et le nombre de pièces depuis 1995.</x:v>
      </x:c>
      <x:c r="E96" s="25" t="str">
        <x:v>ckan:leerstehende-wohnungen-nach-art-der-transaktion-und-anzahl-zimmer-ab-1995:c83504f9-6b24-4e67-994c-ab38c463df62</x:v>
      </x:c>
      <x:c r="F96" s="25" t="str">
        <x:v>Logements vacants selon la mise à disposition sur le marché et le nombre de pièces, dès 1995</x:v>
      </x:c>
      <x:c r="G96" s="25" t="str">
        <x:v>Amt für Statistik und Daten Freiburg</x:v>
      </x:c>
      <x:c r="H96" s="25" t="str">
        <x:v>https://opendata.swiss/de/dataset/leerstehende-wohnungen-nach-art-der-transaktion-und-anzahl-zimmer-ab-1995</x:v>
      </x:c>
      <x:c r="I96" s="25" t="str">
        <x:v>Freigegeben</x:v>
      </x:c>
      <x:c r="J96" s="25" t="str">
        <x:v>Manuell gegen Titel, Publisher, Katalogprofil, Einsatzbereitschaft und Eindeutigkeit geprüft.</x:v>
      </x:c>
    </x:row>
    <x:row r="97">
      <x:c r="A97" s="24" t="str">
        <x:v>q096_fr_direct</x:v>
      </x:c>
      <x:c r="B97" s="24" t="str">
        <x:v>fr</x:v>
      </x:c>
      <x:c r="C97" s="24" t="str">
        <x:v>direct</x:v>
      </x:c>
      <x:c r="D97" s="25" t="str">
        <x:v>Trouve les résultats détaillés de l’indice suisse des prix à la consommation, base décembre 2020, depuis 1982.</x:v>
      </x:c>
      <x:c r="E97" s="25" t="str">
        <x:v>ckan:lik-dezember-2020100-detailresultate-seit-1982-warenkorbstruktur-2020-inkl-sondergliederungen-l1:4d2d00ef-f4ae-4ab0-960d-eecbee1498ac</x:v>
      </x:c>
      <x:c r="F97" s="25" t="str">
        <x:v>LIK (Dezember 2020=100), Detailresultate seit 1982, Warenkorbstruktur 2020, inkl. Sondergliederungen.  [LIK20B20]</x:v>
      </x:c>
      <x:c r="G97" s="25" t="str">
        <x:v>bundesamt-fur-statistik-bfs</x:v>
      </x:c>
      <x:c r="H97" s="25" t="str">
        <x:v>https://opendata.swiss/de/dataset/lik-dezember-2020100-detailresultate-seit-1982-warenkorbstruktur-2020-inkl-sondergliederungen-l1</x:v>
      </x:c>
      <x:c r="I97" s="25" t="str">
        <x:v>Freigegeben</x:v>
      </x:c>
      <x:c r="J97" s="25" t="str">
        <x:v>Manuell gegen Titel, Publisher, Katalogprofil, Einsatzbereitschaft und Eindeutigkeit geprüft.</x:v>
      </x:c>
    </x:row>
    <x:row r="98">
      <x:c r="A98" s="24" t="str">
        <x:v>q097_fr_direct</x:v>
      </x:c>
      <x:c r="B98" s="24" t="str">
        <x:v>fr</x:v>
      </x:c>
      <x:c r="C98" s="24" t="str">
        <x:v>direct</x:v>
      </x:c>
      <x:c r="D98" s="25" t="str">
        <x:v>Trouve les mesures semi-horaires de la qualité de l’air du réseau Ostluft en Thurgovie.</x:v>
      </x:c>
      <x:c r="E98" s="25" t="str">
        <x:v>ckan:luftqualitatsmessungen-ostluft-thurgau-halbstundenwerte:7911415a-2c82-4cb9-8f2c-2986ede9c927</x:v>
      </x:c>
      <x:c r="F98" s="25" t="str">
        <x:v>Luftqualitätsmessungen Ostluft Thurgau – Halbstundenwerte</x:v>
      </x:c>
      <x:c r="G98" s="25" t="str">
        <x:v>kanton-thurgau</x:v>
      </x:c>
      <x:c r="H98" s="25" t="str">
        <x:v>https://opendata.swiss/de/dataset/luftqualitatsmessungen-ostluft-thurgau-halbstundenwerte</x:v>
      </x:c>
      <x:c r="I98" s="25" t="str">
        <x:v>Freigegeben</x:v>
      </x:c>
      <x:c r="J98" s="25" t="str">
        <x:v>Manuell gegen Titel, Publisher, Katalogprofil, Einsatzbereitschaft und Eindeutigkeit geprüft.</x:v>
      </x:c>
    </x:row>
    <x:row r="99">
      <x:c r="A99" s="24" t="str">
        <x:v>q098_fr_direct</x:v>
      </x:c>
      <x:c r="B99" s="24" t="str">
        <x:v>fr</x:v>
      </x:c>
      <x:c r="C99" s="24" t="str">
        <x:v>direct</x:v>
      </x:c>
      <x:c r="D99" s="25" t="str">
        <x:v>Trouve les mesures des capteurs LoRa de mai 2019.</x:v>
      </x:c>
      <x:c r="E99" s="25" t="str">
        <x:v>ckan:lufttemperatur-und-luftfeuchte-lora-sensor-messwerte:e647c485-d551-4c2f-83e5-38eef3970002</x:v>
      </x:c>
      <x:c r="F99" s="25" t="str">
        <x:v>LoRa-Sensor-Messwerte 2019/05</x:v>
      </x:c>
      <x:c r="G99" s="25" t="str">
        <x:v>awel-kanton-zuerich</x:v>
      </x:c>
      <x:c r="H99" s="25" t="str">
        <x:v>https://opendata.swiss/de/dataset/lufttemperatur-und-luftfeuchte-lora-sensor-messwerte</x:v>
      </x:c>
      <x:c r="I99" s="25" t="str">
        <x:v>Freigegeben</x:v>
      </x:c>
      <x:c r="J99" s="25" t="str">
        <x:v>Manuell gegen Titel, Publisher, Katalogprofil, Einsatzbereitschaft und Eindeutigkeit geprüft.</x:v>
      </x:c>
    </x:row>
    <x:row r="100">
      <x:c r="A100" s="24" t="str">
        <x:v>q099_fr_direct</x:v>
      </x:c>
      <x:c r="B100" s="24" t="str">
        <x:v>fr</x:v>
      </x:c>
      <x:c r="C100" s="24" t="str">
        <x:v>direct</x:v>
      </x:c>
      <x:c r="D100" s="25" t="str">
        <x:v>Trouve la vue d’ensemble des traitements et résultats de la procréation médicalement assistée.</x:v>
      </x:c>
      <x:c r="E100" s="25" t="str">
        <x:v>ckan:medizinisch-unterstutzte-fortpflanzung-behandlungen-und-resultate-gesamtansicht3:8c38def7-f188-42fb-8ca7-4d5cb7137630</x:v>
      </x:c>
      <x:c r="F100" s="25" t="str">
        <x:v>Medizinisch unterstützte Fortpflanzung: Behandlungen und Resultate, Gesamtansicht</x:v>
      </x:c>
      <x:c r="G100" s="25" t="str">
        <x:v>bundesamt-fur-statistik-bfs</x:v>
      </x:c>
      <x:c r="H100" s="25" t="str">
        <x:v>https://opendata.swiss/de/dataset/medizinisch-unterstutzte-fortpflanzung-behandlungen-und-resultate-gesamtansicht3</x:v>
      </x:c>
      <x:c r="I100" s="25" t="str">
        <x:v>Freigegeben</x:v>
      </x:c>
      <x:c r="J100" s="25" t="str">
        <x:v>Manuell gegen Titel, Publisher, Katalogprofil, Einsatzbereitschaft und Eindeutigkeit geprüft.</x:v>
      </x:c>
    </x:row>
    <x:row r="101">
      <x:c r="A101" s="24" t="str">
        <x:v>q100_fr_direct</x:v>
      </x:c>
      <x:c r="B101" s="24" t="str">
        <x:v>fr</x:v>
      </x:c>
      <x:c r="C101" s="24" t="str">
        <x:v>direct</x:v>
      </x:c>
      <x:c r="D101" s="25" t="str">
        <x:v>Trouve les précipitations journalières de la station manuelle MétéoSuisse d’Eschlikon.</x:v>
      </x:c>
      <x:c r="E101" s="25" t="str">
        <x:v>ckan:meteoschweiz-manuelle-niederschlagsstationen-tageswerte-eschlikon-eko:f490f27d-ec83-46f4-a54d-ff30a15808d8</x:v>
      </x:c>
      <x:c r="F101" s="25" t="str">
        <x:v>MeteoSchweiz Manuelle Niederschlagsstationen: Tageswerte - Eschlikon (EKO)</x:v>
      </x:c>
      <x:c r="G101" s="25" t="str">
        <x:v>kanton-thurgau</x:v>
      </x:c>
      <x:c r="H101" s="25" t="str">
        <x:v>https://opendata.swiss/de/dataset/meteoschweiz-manuelle-niederschlagsstationen-tageswerte-eschlikon-eko</x:v>
      </x:c>
      <x:c r="I101" s="25" t="str">
        <x:v>Freigegeben</x:v>
      </x:c>
      <x:c r="J101" s="25" t="str">
        <x:v>Manuell gegen Titel, Publisher, Katalogprofil, Einsatzbereitschaft und Eindeutigkeit geprüft.</x:v>
      </x:c>
    </x:row>
    <x:row r="102">
      <x:c r="A102" s="24" t="str">
        <x:v>q101_fr_direct</x:v>
      </x:c>
      <x:c r="B102" s="24" t="str">
        <x:v>fr</x:v>
      </x:c>
      <x:c r="C102" s="24" t="str">
        <x:v>direct</x:v>
      </x:c>
      <x:c r="D102" s="25" t="str">
        <x:v>Trouve le salaire brut mensuel selon la position professionnelle.</x:v>
      </x:c>
      <x:c r="E102" s="25" t="str">
        <x:v>ckan:monatlicher-bruttolohn-nach-beruflicher-stellung-und-geschlecht:bc8f71fb-3473-4691-b62a-ad4af8726aa1</x:v>
      </x:c>
      <x:c r="F102" s="25" t="str">
        <x:v>Monatlicher Bruttolohn nach Stellung</x:v>
      </x:c>
      <x:c r="G102" s="25" t="str">
        <x:v>kanton-zug</x:v>
      </x:c>
      <x:c r="H102" s="25" t="str">
        <x:v>https://opendata.swiss/de/dataset/monatlicher-bruttolohn-nach-beruflicher-stellung-und-geschlecht</x:v>
      </x:c>
      <x:c r="I102" s="25" t="str">
        <x:v>Freigegeben</x:v>
      </x:c>
      <x:c r="J102" s="25" t="str">
        <x:v>Manuell gegen Titel, Publisher, Katalogprofil, Einsatzbereitschaft und Eindeutigkeit geprüft.</x:v>
      </x:c>
    </x:row>
    <x:row r="103">
      <x:c r="A103" s="24" t="str">
        <x:v>q102_fr_direct</x:v>
      </x:c>
      <x:c r="B103" s="24" t="str">
        <x:v>fr</x:v>
      </x:c>
      <x:c r="C103" s="24" t="str">
        <x:v>direct</x:v>
      </x:c>
      <x:c r="D103" s="25" t="str">
        <x:v>Trouve le taux de motorisation par canton.</x:v>
      </x:c>
      <x:c r="E103" s="25" t="str">
        <x:v>ckan:motorisierungsgrad-nach-kanton3:11e188a9-74e9-4178-8dfb-e59352841fc8</x:v>
      </x:c>
      <x:c r="F103" s="25" t="str">
        <x:v>Taux de motorisation par canton</x:v>
      </x:c>
      <x:c r="G103" s="25" t="str">
        <x:v>bundesamt-fur-statistik-bfs</x:v>
      </x:c>
      <x:c r="H103" s="25" t="str">
        <x:v>https://opendata.swiss/de/dataset/motorisierungsgrad-nach-kanton3</x:v>
      </x:c>
      <x:c r="I103" s="25" t="str">
        <x:v>Freigegeben</x:v>
      </x:c>
      <x:c r="J103" s="25" t="str">
        <x:v>Manuell gegen Titel, Publisher, Katalogprofil, Einsatzbereitschaft und Eindeutigkeit geprüft.</x:v>
      </x:c>
    </x:row>
    <x:row r="104">
      <x:c r="A104" s="24" t="str">
        <x:v>q103_fr_direct</x:v>
      </x:c>
      <x:c r="B104" s="24" t="str">
        <x:v>fr</x:v>
      </x:c>
      <x:c r="C104" s="24" t="str">
        <x:v>direct</x:v>
      </x:c>
      <x:c r="D104" s="25" t="str">
        <x:v>Trouve les données de l’élection au Conseil national dans le canton de Zoug en 2019.</x:v>
      </x:c>
      <x:c r="E104" s="25" t="str">
        <x:v>ckan:nationalratswahl-zug-2019:e3ff069e-e498-49db-92b2-b2471b4ff655</x:v>
      </x:c>
      <x:c r="F104" s="25" t="str">
        <x:v>nationalratswahl-zug-2019.json</x:v>
      </x:c>
      <x:c r="G104" s="25" t="str">
        <x:v>staatskanzlei-zug</x:v>
      </x:c>
      <x:c r="H104" s="25" t="str">
        <x:v>https://opendata.swiss/de/dataset/nationalratswahl-zug-2019</x:v>
      </x:c>
      <x:c r="I104" s="25" t="str">
        <x:v>Freigegeben</x:v>
      </x:c>
      <x:c r="J104" s="25" t="str">
        <x:v>Manuell gegen Titel, Publisher, Katalogprofil, Einsatzbereitschaft und Eindeutigkeit geprüft.</x:v>
      </x:c>
    </x:row>
    <x:row r="105">
      <x:c r="A105" s="24" t="str">
        <x:v>q104_fr_direct</x:v>
      </x:c>
      <x:c r="B105" s="24" t="str">
        <x:v>fr</x:v>
      </x:c>
      <x:c r="C105" s="24" t="str">
        <x:v>direct</x:v>
      </x:c>
      <x:c r="D105" s="25" t="str">
        <x:v>Trouve les interactions entre plantes indigènes et non indigènes dans les prairies australiennes.</x:v>
      </x:c>
      <x:c r="E105" s="25" t="str">
        <x:v>ckan:native-and-no-native-plant-interactions-in-australian-grasslands:89ace5e4-6194-4498-8a9f-dd04c4ac07c6</x:v>
      </x:c>
      <x:c r="F105" s="25" t="str">
        <x:v>Native and no-native plant interactions in Australian grasslands</x:v>
      </x:c>
      <x:c r="G105" s="25" t="str">
        <x:v>envidat</x:v>
      </x:c>
      <x:c r="H105" s="25" t="str">
        <x:v>https://opendata.swiss/de/dataset/native-and-no-native-plant-interactions-in-australian-grasslands</x:v>
      </x:c>
      <x:c r="I105" s="25" t="str">
        <x:v>Freigegeben</x:v>
      </x:c>
      <x:c r="J105" s="25" t="str">
        <x:v>Manuell gegen Titel, Publisher, Katalogprofil, Einsatzbereitschaft und Eindeutigkeit geprüft.</x:v>
      </x:c>
    </x:row>
    <x:row r="106">
      <x:c r="A106" s="24" t="str">
        <x:v>q105_fr_direct</x:v>
      </x:c>
      <x:c r="B106" s="24" t="str">
        <x:v>fr</x:v>
      </x:c>
      <x:c r="C106" s="24" t="str">
        <x:v>direct</x:v>
      </x:c>
      <x:c r="D106" s="25" t="str">
        <x:v>Trouve les logements nouvellement construits par commune depuis 2012.</x:v>
      </x:c>
      <x:c r="E106" s="25" t="str">
        <x:v>ckan:neu-erstellte-wohnungen-nach-gemeinde:0269e7ce-31de-4244-93f6-581de32b83e7</x:v>
      </x:c>
      <x:c r="F106" s="25" t="str">
        <x:v>Neu erstellte Wohnungen nach Gemeinde ab 2012</x:v>
      </x:c>
      <x:c r="G106" s="25" t="str">
        <x:v>kanton-zug</x:v>
      </x:c>
      <x:c r="H106" s="25" t="str">
        <x:v>https://opendata.swiss/de/dataset/neu-erstellte-wohnungen-nach-gemeinde</x:v>
      </x:c>
      <x:c r="I106" s="25" t="str">
        <x:v>Freigegeben</x:v>
      </x:c>
      <x:c r="J106" s="25" t="str">
        <x:v>Manuell gegen Titel, Publisher, Katalogprofil, Einsatzbereitschaft und Eindeutigkeit geprüft.</x:v>
      </x:c>
    </x:row>
    <x:row r="107">
      <x:c r="A107" s="24" t="str">
        <x:v>q106_fr_direct</x:v>
      </x:c>
      <x:c r="B107" s="24" t="str">
        <x:v>fr</x:v>
      </x:c>
      <x:c r="C107" s="24" t="str">
        <x:v>direct</x:v>
      </x:c>
      <x:c r="D107" s="25" t="str">
        <x:v>Trouve le plan d’affectation communal et le règlement des constructions et des zones de Zurich au format GeoJSON.</x:v>
      </x:c>
      <x:c r="E107" s="25" t="str">
        <x:v>ckan:nutzungsplanung-kommunale-bau-und-zonenordnung-bzo:9a30eccf-9b8f-4d0e-9add-9f860b2e7c51</x:v>
      </x:c>
      <x:c r="F107" s="25" t="str">
        <x:v>Nutzungsplanung___kommunale_Bau__und_Zonenordnung__BZO_.json (GeoJSON-Services)</x:v>
      </x:c>
      <x:c r="G107" s="25" t="str">
        <x:v>stadt-zurich</x:v>
      </x:c>
      <x:c r="H107" s="25" t="str">
        <x:v>https://opendata.swiss/de/dataset/nutzungsplanung-kommunale-bau-und-zonenordnung-bzo</x:v>
      </x:c>
      <x:c r="I107" s="25" t="str">
        <x:v>Freigegeben</x:v>
      </x:c>
      <x:c r="J107" s="25" t="str">
        <x:v>Manuell gegen Titel, Publisher, Katalogprofil, Einsatzbereitschaft und Eindeutigkeit geprüft.</x:v>
      </x:c>
    </x:row>
    <x:row r="108">
      <x:c r="A108" s="24" t="str">
        <x:v>q107_fr_direct</x:v>
      </x:c>
      <x:c r="B108" s="24" t="str">
        <x:v>fr</x:v>
      </x:c>
      <x:c r="C108" s="24" t="str">
        <x:v>direct</x:v>
      </x:c>
      <x:c r="D108" s="25" t="str">
        <x:v>Trouve le fichier GeoParquet sur l’écomorphologie des zones d’eau peu profonde.</x:v>
      </x:c>
      <x:c r="E108" s="25" t="str">
        <x:v>ckan:okomorphologie-der-seeufer:97118db3-c678-4c81-96da-90f0c7f6b12d</x:v>
      </x:c>
      <x:c r="F108" s="25" t="str">
        <x:v>Geoparquet-Datei - Ökomorphologie Flachwasserzone</x:v>
      </x:c>
      <x:c r="G108" s="25" t="str">
        <x:v>amt-fuer-geoinformation-des-kantons-bern</x:v>
      </x:c>
      <x:c r="H108" s="25" t="str">
        <x:v>https://opendata.swiss/de/dataset/okomorphologie-der-seeufer</x:v>
      </x:c>
      <x:c r="I108" s="25" t="str">
        <x:v>Freigegeben</x:v>
      </x:c>
      <x:c r="J108" s="25" t="str">
        <x:v>Manuell gegen Titel, Publisher, Katalogprofil, Einsatzbereitschaft und Eindeutigkeit geprüft.</x:v>
      </x:c>
    </x:row>
    <x:row r="109">
      <x:c r="A109" s="24" t="str">
        <x:v>q108_fr_direct</x:v>
      </x:c>
      <x:c r="B109" s="24" t="str">
        <x:v>fr</x:v>
      </x:c>
      <x:c r="C109" s="24" t="str">
        <x:v>direct</x:v>
      </x:c>
      <x:c r="D109" s="25" t="str">
        <x:v>Trouve le parc de logements selon le nombre de pièces depuis 1990.</x:v>
      </x:c>
      <x:c r="E109" s="25" t="str">
        <x:v>ckan:parc-de-logements-selon-le-nombre-de-pieces-des-1990:dbc01822-11fa-4dd3-bebd-ce6c7bc5ab88</x:v>
      </x:c>
      <x:c r="F109" s="25" t="str">
        <x:v>Parc de logements, selon le nombre de pi?ces, d?s 1990</x:v>
      </x:c>
      <x:c r="G109" s="25" t="str">
        <x:v>ssd</x:v>
      </x:c>
      <x:c r="H109" s="25" t="str">
        <x:v>https://opendata.swiss/de/dataset/parc-de-logements-selon-le-nombre-de-pieces-des-1990</x:v>
      </x:c>
      <x:c r="I109" s="25" t="str">
        <x:v>Freigegeben</x:v>
      </x:c>
      <x:c r="J109" s="25" t="str">
        <x:v>Manuell gegen Titel, Publisher, Katalogprofil, Einsatzbereitschaft und Eindeutigkeit geprüft.</x:v>
      </x:c>
    </x:row>
    <x:row r="110">
      <x:c r="A110" s="24" t="str">
        <x:v>q109_fr_direct</x:v>
      </x:c>
      <x:c r="B110" s="24" t="str">
        <x:v>fr</x:v>
      </x:c>
      <x:c r="C110" s="24" t="str">
        <x:v>direct</x:v>
      </x:c>
      <x:c r="D110" s="25" t="str">
        <x:v>Trouve les voitures de tourisme selon le type de boîte de vitesses depuis 2022.</x:v>
      </x:c>
      <x:c r="E110" s="25" t="str">
        <x:v>ckan:personenwagen-nach-getriebe-ab-2022:7b08aef0-eaed-4ffb-a5bf-aff003e4eece</x:v>
      </x:c>
      <x:c r="F110" s="25" t="str">
        <x:v>Voitures de tourisme, par boîte de vitesse, dès 2022</x:v>
      </x:c>
      <x:c r="G110" s="25" t="str">
        <x:v>ssd</x:v>
      </x:c>
      <x:c r="H110" s="25" t="str">
        <x:v>https://opendata.swiss/de/dataset/personenwagen-nach-getriebe-ab-2022</x:v>
      </x:c>
      <x:c r="I110" s="25" t="str">
        <x:v>Freigegeben</x:v>
      </x:c>
      <x:c r="J110" s="25" t="str">
        <x:v>Manuell gegen Titel, Publisher, Katalogprofil, Einsatzbereitschaft und Eindeutigkeit geprüft.</x:v>
      </x:c>
    </x:row>
    <x:row r="111">
      <x:c r="A111" s="24" t="str">
        <x:v>q110_fr_direct</x:v>
      </x:c>
      <x:c r="B111" s="24" t="str">
        <x:v>fr</x:v>
      </x:c>
      <x:c r="C111" s="24" t="str">
        <x:v>direct</x:v>
      </x:c>
      <x:c r="D111" s="25" t="str">
        <x:v>Trouve la limite cantonale généralisée sous forme de lignes, niveau GS 3, au format GeoParquet.</x:v>
      </x:c>
      <x:c r="E111" s="25" t="str">
        <x:v>ckan:politische-grenzen-generalisiert:543c31c1-52a8-45c9-9abd-2d2796b37af0</x:v>
      </x:c>
      <x:c r="F111" s="25" t="str">
        <x:v>Geoparquet-Datei - Generalisierte Kantonsgrenze (Linien) GS 3</x:v>
      </x:c>
      <x:c r="G111" s="25" t="str">
        <x:v>amt-fuer-geoinformation-des-kantons-bern</x:v>
      </x:c>
      <x:c r="H111" s="25" t="str">
        <x:v>https://opendata.swiss/de/dataset/politische-grenzen-generalisiert</x:v>
      </x:c>
      <x:c r="I111" s="25" t="str">
        <x:v>Freigegeben</x:v>
      </x:c>
      <x:c r="J111" s="25" t="str">
        <x:v>Manuell gegen Titel, Publisher, Katalogprofil, Einsatzbereitschaft und Eindeutigkeit geprüft.</x:v>
      </x:c>
    </x:row>
    <x:row r="112">
      <x:c r="A112" s="24" t="str">
        <x:v>q111_fr_direct</x:v>
      </x:c>
      <x:c r="B112" s="24" t="str">
        <x:v>fr</x:v>
      </x:c>
      <x:c r="C112" s="24" t="str">
        <x:v>direct</x:v>
      </x:c>
      <x:c r="D112" s="25" t="str">
        <x:v>Trouve les élèves du degré primaire 1-2 selon la grande région et le canton de l’école.</x:v>
      </x:c>
      <x:c r="E112" s="25" t="str">
        <x:v>ckan:primarstufe-1-2-lernende-nach-grossregion-und-schulkanton1:c6275555-670b-43da-a0a8-79df71aef548</x:v>
      </x:c>
      <x:c r="F112" s="25" t="str">
        <x:v>Degré primaire 1-2: élèves selon la grande région et le canton de l'école</x:v>
      </x:c>
      <x:c r="G112" s="25" t="str">
        <x:v>bundesamt-fur-statistik-bfs</x:v>
      </x:c>
      <x:c r="H112" s="25" t="str">
        <x:v>https://opendata.swiss/de/dataset/primarstufe-1-2-lernende-nach-grossregion-und-schulkanton1</x:v>
      </x:c>
      <x:c r="I112" s="25" t="str">
        <x:v>Freigegeben</x:v>
      </x:c>
      <x:c r="J112" s="25" t="str">
        <x:v>Manuell gegen Titel, Publisher, Katalogprofil, Einsatzbereitschaft und Eindeutigkeit geprüft.</x:v>
      </x:c>
    </x:row>
    <x:row r="113">
      <x:c r="A113" s="24" t="str">
        <x:v>q112_fr_direct</x:v>
      </x:c>
      <x:c r="B113" s="24" t="str">
        <x:v>fr</x:v>
      </x:c>
      <x:c r="C113" s="24" t="str">
        <x:v>direct</x:v>
      </x:c>
      <x:c r="D113" s="25" t="str">
        <x:v>Trouve le fichier de spécifications SQL de l’indicateur de qualité hospitalier QIP21 numéro 54.</x:v>
      </x:c>
      <x:c r="E113" s="25" t="str">
        <x:v>ckan:qualitatsindikatoren-der-schweizer-akutspitaler-2021:20969a00-c4c7-4f5b-8feb-841eaaa1fbcf</x:v>
      </x:c>
      <x:c r="F113" s="25" t="str">
        <x:v>qip21_spezifikationen_54_sql.txt</x:v>
      </x:c>
      <x:c r="G113" s="25" t="str">
        <x:v>bundesamt-fur-gesundheit-bag</x:v>
      </x:c>
      <x:c r="H113" s="25" t="str">
        <x:v>https://opendata.swiss/de/dataset/qualitatsindikatoren-der-schweizer-akutspitaler-2021</x:v>
      </x:c>
      <x:c r="I113" s="25" t="str">
        <x:v>Freigegeben</x:v>
      </x:c>
      <x:c r="J113" s="25" t="str">
        <x:v>Manuell gegen Titel, Publisher, Katalogprofil, Einsatzbereitschaft und Eindeutigkeit geprüft.</x:v>
      </x:c>
    </x:row>
    <x:row r="114">
      <x:c r="A114" s="24" t="str">
        <x:v>q113_fr_direct</x:v>
      </x:c>
      <x:c r="B114" s="24" t="str">
        <x:v>fr</x:v>
      </x:c>
      <x:c r="C114" s="24" t="str">
        <x:v>direct</x:v>
      </x:c>
      <x:c r="D114" s="25" t="str">
        <x:v>Trouve les données de l’élection complémentaire au Conseil d’État de 2013.</x:v>
      </x:c>
      <x:c r="E114" s="25" t="str">
        <x:v>ckan:regierungsratsersatzwahl-2013:fc69fa3d-2915-41ea-b146-c149eab06a68</x:v>
      </x:c>
      <x:c r="F114" s="25" t="str">
        <x:v>regierungsratsersatzwahl-2013.json</x:v>
      </x:c>
      <x:c r="G114" s="25" t="str">
        <x:v>kanton-basel-landschaft</x:v>
      </x:c>
      <x:c r="H114" s="25" t="str">
        <x:v>https://opendata.swiss/de/dataset/regierungsratsersatzwahl-2013</x:v>
      </x:c>
      <x:c r="I114" s="25" t="str">
        <x:v>Freigegeben</x:v>
      </x:c>
      <x:c r="J114" s="25" t="str">
        <x:v>Manuell gegen Titel, Publisher, Katalogprofil, Einsatzbereitschaft und Eindeutigkeit geprüft.</x:v>
      </x:c>
    </x:row>
    <x:row r="115">
      <x:c r="A115" s="24" t="str">
        <x:v>q114_fr_direct</x:v>
      </x:c>
      <x:c r="B115" s="24" t="str">
        <x:v>fr</x:v>
      </x:c>
      <x:c r="C115" s="24" t="str">
        <x:v>direct</x:v>
      </x:c>
      <x:c r="D115" s="25" t="str">
        <x:v>Trouve le fichier GeoParquet des conférences régionales des transports.</x:v>
      </x:c>
      <x:c r="E115" s="25" t="str">
        <x:v>ckan:regionale-verkehrskonferenzen:21573544-5cec-4926-90da-eac9337c1795</x:v>
      </x:c>
      <x:c r="F115" s="25" t="str">
        <x:v>Geoparquet-Datei - Regionale Verkehrskonferenzen</x:v>
      </x:c>
      <x:c r="G115" s="25" t="str">
        <x:v>amt-fuer-geoinformation-des-kantons-bern</x:v>
      </x:c>
      <x:c r="H115" s="25" t="str">
        <x:v>https://opendata.swiss/de/dataset/regionale-verkehrskonferenzen</x:v>
      </x:c>
      <x:c r="I115" s="25" t="str">
        <x:v>Freigegeben</x:v>
      </x:c>
      <x:c r="J115" s="25" t="str">
        <x:v>Manuell gegen Titel, Publisher, Katalogprofil, Einsatzbereitschaft und Eindeutigkeit geprüft.</x:v>
      </x:c>
    </x:row>
    <x:row r="116">
      <x:c r="A116" s="24" t="str">
        <x:v>q115_fr_direct</x:v>
      </x:c>
      <x:c r="B116" s="24" t="str">
        <x:v>fr</x:v>
      </x:c>
      <x:c r="C116" s="24" t="str">
        <x:v>direct</x:v>
      </x:c>
      <x:c r="D116" s="25" t="str">
        <x:v>Trouve les résultats du second tour de l’élection complémentaire à la présidence du gouvernement du 7 avril 2024.</x:v>
      </x:c>
      <x:c r="E116" s="25" t="str">
        <x:v>ckan:resultate-der-ersatzwahl-regierungsprasidium-7-april-2024-2-wahlgang:f31040bb-bdd7-4254-b280-f31333383f6f</x:v>
      </x:c>
      <x:c r="F116" s="25" t="str">
        <x:v>Resultate der Ersatzwahlen Regierungspräsidium 7. April 2024 (2. Wahlgang)</x:v>
      </x:c>
      <x:c r="G116" s="25" t="str">
        <x:v>kanton-basel-stadt</x:v>
      </x:c>
      <x:c r="H116" s="25" t="str">
        <x:v>https://opendata.swiss/de/dataset/resultate-der-ersatzwahl-regierungsprasidium-7-april-2024-2-wahlgang</x:v>
      </x:c>
      <x:c r="I116" s="25" t="str">
        <x:v>Freigegeben</x:v>
      </x:c>
      <x:c r="J116" s="25" t="str">
        <x:v>Manuell gegen Titel, Publisher, Katalogprofil, Einsatzbereitschaft und Eindeutigkeit geprüft.</x:v>
      </x:c>
    </x:row>
    <x:row r="117">
      <x:c r="A117" s="24" t="str">
        <x:v>q116_it_direct</x:v>
      </x:c>
      <x:c r="B117" s="24" t="str">
        <x:v>it</x:v>
      </x:c>
      <x:c r="C117" s="24" t="str">
        <x:v>direct</x:v>
      </x:c>
      <x:c r="D117" s="25" t="str">
        <x:v>Trova le nascite di bovini suddivise per tipo di utilizzazione.</x:v>
      </x:c>
      <x:c r="E117" s="25" t="str">
        <x:v>ckan:rinder-geburten-nach-nutzungsarten:8eb823bd-666b-4dbe-8add-b6b9958cef48</x:v>
      </x:c>
      <x:c r="F117" s="25" t="str">
        <x:v>Rinder - Geburten nach Nutzungsarten</x:v>
      </x:c>
      <x:c r="G117" s="25" t="str">
        <x:v>identitas</x:v>
      </x:c>
      <x:c r="H117" s="25" t="str">
        <x:v>https://opendata.swiss/de/dataset/rinder-geburten-nach-nutzungsarten</x:v>
      </x:c>
      <x:c r="I117" s="25" t="str">
        <x:v>Freigegeben</x:v>
      </x:c>
      <x:c r="J117" s="25" t="str">
        <x:v>Manuell gegen Titel, Publisher, Katalogprofil, Einsatzbereitschaft und Eindeutigkeit geprüft.</x:v>
      </x:c>
    </x:row>
    <x:row r="118">
      <x:c r="A118" s="24" t="str">
        <x:v>q117_it_direct</x:v>
      </x:c>
      <x:c r="B118" s="24" t="str">
        <x:v>it</x:v>
      </x:c>
      <x:c r="C118" s="24" t="str">
        <x:v>direct</x:v>
      </x:c>
      <x:c r="D118" s="25" t="str">
        <x:v>Trova il file GeoParquet dei percorsi escursionistici in fase preliminare con il tipo di pavimentazione.</x:v>
      </x:c>
      <x:c r="E118" s="25" t="str">
        <x:v>ckan:sachplankarte-wanderroutennetz:5e62ae89-783b-4dee-8583-9777660b45b2</x:v>
      </x:c>
      <x:c r="F118" s="25" t="str">
        <x:v>Geoparquet-Datei - Wanderrouten Vororientierung mit Belagsart</x:v>
      </x:c>
      <x:c r="G118" s="25" t="str">
        <x:v>amt-fuer-geoinformation-des-kantons-bern</x:v>
      </x:c>
      <x:c r="H118" s="25" t="str">
        <x:v>https://opendata.swiss/de/dataset/sachplankarte-wanderroutennetz</x:v>
      </x:c>
      <x:c r="I118" s="25" t="str">
        <x:v>Freigegeben</x:v>
      </x:c>
      <x:c r="J118" s="25" t="str">
        <x:v>Manuell gegen Titel, Publisher, Katalogprofil, Einsatzbereitschaft und Eindeutigkeit geprüft.</x:v>
      </x:c>
    </x:row>
    <x:row r="119">
      <x:c r="A119" s="24" t="str">
        <x:v>q118_it_direct</x:v>
      </x:c>
      <x:c r="B119" s="24" t="str">
        <x:v>it</x:v>
      </x:c>
      <x:c r="C119" s="24" t="str">
        <x:v>direct</x:v>
      </x:c>
      <x:c r="D119" s="25" t="str">
        <x:v>Trova la distribuzione delle nascite di ovini.</x:v>
      </x:c>
      <x:c r="E119" s="25" t="str">
        <x:v>ckan:schafe-verteilung-der-geburten:75c335c3-820c-4ffc-ab48-9b0ea102a4d1</x:v>
      </x:c>
      <x:c r="F119" s="25" t="str">
        <x:v>Schafe - Verteilung der Geburten</x:v>
      </x:c>
      <x:c r="G119" s="25" t="str">
        <x:v>identitas</x:v>
      </x:c>
      <x:c r="H119" s="25" t="str">
        <x:v>https://opendata.swiss/de/dataset/schafe-verteilung-der-geburten</x:v>
      </x:c>
      <x:c r="I119" s="25" t="str">
        <x:v>Freigegeben</x:v>
      </x:c>
      <x:c r="J119" s="25" t="str">
        <x:v>Manuell gegen Titel, Publisher, Katalogprofil, Einsatzbereitschaft und Eindeutigkeit geprüft.</x:v>
      </x:c>
    </x:row>
    <x:row r="120">
      <x:c r="A120" s="24" t="str">
        <x:v>q119_it_direct</x:v>
      </x:c>
      <x:c r="B120" s="24" t="str">
        <x:v>it</x:v>
      </x:c>
      <x:c r="C120" s="24" t="str">
        <x:v>direct</x:v>
      </x:c>
      <x:c r="D120" s="25" t="str">
        <x:v>Trova le sedi scolastiche nei comuni di Riehen e Bettingen.</x:v>
      </x:c>
      <x:c r="E120" s="25" t="str">
        <x:v>ckan:schulstandorte-gemeinden-riehen-und-bettingen:190be427-83bc-423c-8008-b20cf1da83a8</x:v>
      </x:c>
      <x:c r="F120" s="25" t="str">
        <x:v>Schulstandorte (Gemeinden Riehen und Bettingen)</x:v>
      </x:c>
      <x:c r="G120" s="25" t="str">
        <x:v>kanton-basel-stadt</x:v>
      </x:c>
      <x:c r="H120" s="25" t="str">
        <x:v>https://opendata.swiss/de/dataset/schulstandorte-gemeinden-riehen-und-bettingen</x:v>
      </x:c>
      <x:c r="I120" s="25" t="str">
        <x:v>Freigegeben</x:v>
      </x:c>
      <x:c r="J120" s="25" t="str">
        <x:v>Manuell gegen Titel, Publisher, Katalogprofil, Einsatzbereitschaft und Eindeutigkeit geprüft.</x:v>
      </x:c>
    </x:row>
    <x:row r="121">
      <x:c r="A121" s="24" t="str">
        <x:v>q120_it_direct</x:v>
      </x:c>
      <x:c r="B121" s="24" t="str">
        <x:v>it</x:v>
      </x:c>
      <x:c r="C121" s="24" t="str">
        <x:v>direct</x:v>
      </x:c>
      <x:c r="D121" s="25" t="str">
        <x:v>Trova i beneficiari maggiorenni dell’assistenza sociale nel settore dell’asilo a Sciaffusa, per stato civile.</x:v>
      </x:c>
      <x:c r="E121" s="25" t="str">
        <x:v>ckan:sh-asylstat-sozialhilfebeziehende-im-asylbereich-ab-18-jahren-nach-zivilstand3:5fc968ef-e7db-4912-bbce-4d76a0119bc6</x:v>
      </x:c>
      <x:c r="F121" s="25" t="str">
        <x:v>SH-AsylStat: Sozialhilfebeziehende im Asylbereich ab 18 Jahren nach Zivilstand</x:v>
      </x:c>
      <x:c r="G121" s="25" t="str">
        <x:v>bundesamt-fur-statistik-bfs</x:v>
      </x:c>
      <x:c r="H121" s="25" t="str">
        <x:v>https://opendata.swiss/de/dataset/sh-asylstat-sozialhilfebeziehende-im-asylbereich-ab-18-jahren-nach-zivilstand3</x:v>
      </x:c>
      <x:c r="I121" s="25" t="str">
        <x:v>Freigegeben</x:v>
      </x:c>
      <x:c r="J121" s="25" t="str">
        <x:v>Manuell gegen Titel, Publisher, Katalogprofil, Einsatzbereitschaft und Eindeutigkeit geprüft.</x:v>
      </x:c>
    </x:row>
    <x:row r="122">
      <x:c r="A122" s="24" t="str">
        <x:v>q121_it_synonym_typo</x:v>
      </x:c>
      <x:c r="B122" s="24" t="str">
        <x:v>it</x:v>
      </x:c>
      <x:c r="C122" s="24" t="str">
        <x:v>synonym_typo</x:v>
      </x:c>
      <x:c r="D122" s="25" t="str">
        <x:v>Cerco i dati sul rumore del trafico rilevato dal progetto Strada intelligente di Basilea.</x:v>
      </x:c>
      <x:c r="E122" s="25" t="str">
        <x:v>ckan:smarte-strasse-verkehrslarm:1d076053-1c55-4f98-b609-6a38deee9b5c</x:v>
      </x:c>
      <x:c r="F122" s="25" t="str">
        <x:v>Smarte Strasse: Verkehrslärm</x:v>
      </x:c>
      <x:c r="G122" s="25" t="str">
        <x:v>kanton-basel-stadt</x:v>
      </x:c>
      <x:c r="H122" s="25" t="str">
        <x:v>https://opendata.swiss/de/dataset/smarte-strasse-verkehrslarm</x:v>
      </x:c>
      <x:c r="I122" s="25" t="str">
        <x:v>Freigegeben</x:v>
      </x:c>
      <x:c r="J122" s="25" t="str">
        <x:v>Manuell gegen Titel, Publisher, Katalogprofil, Einsatzbereitschaft und Eindeutigkeit geprüft.</x:v>
      </x:c>
    </x:row>
    <x:row r="123">
      <x:c r="A123" s="24" t="str">
        <x:v>q122_it_synonym_typo</x:v>
      </x:c>
      <x:c r="B123" s="24" t="str">
        <x:v>it</x:v>
      </x:c>
      <x:c r="C123" s="24" t="str">
        <x:v>synonym_typo</x:v>
      </x:c>
      <x:c r="D123" s="25" t="str">
        <x:v>Cerco il personale degli ospedali svizzeri a partire dal 2010.</x:v>
      </x:c>
      <x:c r="E123" s="25" t="str">
        <x:v>ckan:spitaler-personal-seit-2010:081c7142-859b-40f3-879f-0e4dcf2764eb</x:v>
      </x:c>
      <x:c r="F123" s="25" t="str">
        <x:v>Spitäler: Personal (seit 2010)</x:v>
      </x:c>
      <x:c r="G123" s="25" t="str">
        <x:v>kanton-basel-landschaft</x:v>
      </x:c>
      <x:c r="H123" s="25" t="str">
        <x:v>https://opendata.swiss/de/dataset/spitaler-personal-seit-2010</x:v>
      </x:c>
      <x:c r="I123" s="25" t="str">
        <x:v>Freigegeben</x:v>
      </x:c>
      <x:c r="J123" s="25" t="str">
        <x:v>Manuell gegen Titel, Publisher, Katalogprofil, Einsatzbereitschaft und Eindeutigkeit geprüft.</x:v>
      </x:c>
    </x:row>
    <x:row r="124">
      <x:c r="A124" s="24" t="str">
        <x:v>q123_it_synonym_typo</x:v>
      </x:c>
      <x:c r="B124" s="24" t="str">
        <x:v>it</x:v>
      </x:c>
      <x:c r="C124" s="24" t="str">
        <x:v>synonym_typo</x:v>
      </x:c>
      <x:c r="D124" s="25" t="str">
        <x:v>Cerco il bilancio del consuntivo cantonale della Turgovia per il 2022.</x:v>
      </x:c>
      <x:c r="E124" s="25" t="str">
        <x:v>ckan:staatsrechnung-thurgau-2022-bilanz:23a6b84f-2d83-4f5a-ba04-65f69fa56dfc</x:v>
      </x:c>
      <x:c r="F124" s="25" t="str">
        <x:v>Staatsrechnung Thurgau 2022 - Bilanz</x:v>
      </x:c>
      <x:c r="G124" s="25" t="str">
        <x:v>kanton-thurgau</x:v>
      </x:c>
      <x:c r="H124" s="25" t="str">
        <x:v>https://opendata.swiss/de/dataset/staatsrechnung-thurgau-2022-bilanz</x:v>
      </x:c>
      <x:c r="I124" s="25" t="str">
        <x:v>Freigegeben</x:v>
      </x:c>
      <x:c r="J124" s="25" t="str">
        <x:v>Manuell gegen Titel, Publisher, Katalogprofil, Einsatzbereitschaft und Eindeutigkeit geprüft.</x:v>
      </x:c>
    </x:row>
    <x:row r="125">
      <x:c r="A125" s="24" t="str">
        <x:v>q124_it_synonym_typo</x:v>
      </x:c>
      <x:c r="B125" s="24" t="str">
        <x:v>it</x:v>
      </x:c>
      <x:c r="C125" s="24" t="str">
        <x:v>synonym_typo</x:v>
      </x:c>
      <x:c r="D125" s="25" t="str">
        <x:v>Cerco i risultati in JSON dell’elezione al Consiglio degli Stati nel canton Zugo nel 2015.</x:v>
      </x:c>
      <x:c r="E125" s="25" t="str">
        <x:v>ckan:standeratswahl-2015:45274a90-0992-444e-96c0-9767b4f7aa80</x:v>
      </x:c>
      <x:c r="F125" s="25" t="str">
        <x:v>staenderatswahl-zug-2015.json</x:v>
      </x:c>
      <x:c r="G125" s="25" t="str">
        <x:v>staatskanzlei-zug</x:v>
      </x:c>
      <x:c r="H125" s="25" t="str">
        <x:v>https://opendata.swiss/de/dataset/standeratswahl-2015</x:v>
      </x:c>
      <x:c r="I125" s="25" t="str">
        <x:v>Freigegeben</x:v>
      </x:c>
      <x:c r="J125" s="25" t="str">
        <x:v>Manuell gegen Titel, Publisher, Katalogprofil, Einsatzbereitschaft und Eindeutigkeit geprüft.</x:v>
      </x:c>
    </x:row>
    <x:row r="126">
      <x:c r="A126" s="24" t="str">
        <x:v>q125_it_synonym_typo</x:v>
      </x:c>
      <x:c r="B126" s="24" t="str">
        <x:v>it</x:v>
      </x:c>
      <x:c r="C126" s="24" t="str">
        <x:v>synonym_typo</x:v>
      </x:c>
      <x:c r="D126" s="25" t="str">
        <x:v>Cerco la popolazione residente permanente per età, sesso e nazionalità dal 2010 al 2024.</x:v>
      </x:c>
      <x:c r="E126" s="25" t="str">
        <x:v>ckan:standige-wohnbevolkerung-nach-alter-geschlecht-und-staatsangehorigkeitskategorie-2010-2024:e685080a-2202-41c4-b3a2-0a7a9e8649e5</x:v>
      </x:c>
      <x:c r="F126" s="25" t="str">
        <x:v>Population résidante permanente selon l'âge, le sexe et la catégorie de nationalité, de 2010 à 2024</x:v>
      </x:c>
      <x:c r="G126" s="25" t="str">
        <x:v>bundesamt-fur-statistik-bfs</x:v>
      </x:c>
      <x:c r="H126" s="25" t="str">
        <x:v>https://opendata.swiss/de/dataset/standige-wohnbevolkerung-nach-alter-geschlecht-und-staatsangehorigkeitskategorie-2010-2024</x:v>
      </x:c>
      <x:c r="I126" s="25" t="str">
        <x:v>Freigegeben</x:v>
      </x:c>
      <x:c r="J126" s="25" t="str">
        <x:v>Manuell gegen Titel, Publisher, Katalogprofil, Einsatzbereitschaft und Eindeutigkeit geprüft.</x:v>
      </x:c>
    </x:row>
    <x:row r="127">
      <x:c r="A127" s="24" t="str">
        <x:v>q126_it_synonym_typo</x:v>
      </x:c>
      <x:c r="B127" s="24" t="str">
        <x:v>it</x:v>
      </x:c>
      <x:c r="C127" s="24" t="str">
        <x:v>synonym_typo</x:v>
      </x:c>
      <x:c r="D127" s="25" t="str">
        <x:v>Cerco gli edifici dell’edilizia abitativa senza scopo di lucro per categoria nel 2018.</x:v>
      </x:c>
      <x:c r="E127" s="25" t="str">
        <x:v>ckan:statistik-der-schweizer-staedte-2021:24be82c0-c391-4679-b6a3-3fcb366849e6</x:v>
      </x:c>
      <x:c r="F127" s="25" t="str">
        <x:v>Gebäude und Gebäude des gemeinnützigen Wohnungbaus, nach Gebäudekategorie, 2018</x:v>
      </x:c>
      <x:c r="G127" s="25" t="str">
        <x:v>bundesamt-fur-statistik-bfs</x:v>
      </x:c>
      <x:c r="H127" s="25" t="str">
        <x:v>https://opendata.swiss/de/dataset/statistik-der-schweizer-staedte-2021</x:v>
      </x:c>
      <x:c r="I127" s="25" t="str">
        <x:v>Freigegeben</x:v>
      </x:c>
      <x:c r="J127" s="25" t="str">
        <x:v>Manuell gegen Titel, Publisher, Katalogprofil, Einsatzbereitschaft und Eindeutigkeit geprüft.</x:v>
      </x:c>
    </x:row>
    <x:row r="128">
      <x:c r="A128" s="24" t="str">
        <x:v>q127_it_synonym_typo</x:v>
      </x:c>
      <x:c r="B128" s="24" t="str">
        <x:v>it</x:v>
      </x:c>
      <x:c r="C128" s="24" t="str">
        <x:v>synonym_typo</x:v>
      </x:c>
      <x:c r="D128" s="25" t="str">
        <x:v>Cerco il tasso di assistenza sociale delle persone con statuto di protezione S per cantone.</x:v>
      </x:c>
      <x:c r="E128" s="25" t="str">
        <x:v>ckan:status-s-sozialhilfequote-der-personen-mit-schutzstatus-s-nach-kanton:92059a50-d165-4e6f-8f67-09c17a41105e</x:v>
      </x:c>
      <x:c r="F128" s="25" t="str">
        <x:v>Statut S: Taux d'aide sociale des personnes avec statut de protection S par canton</x:v>
      </x:c>
      <x:c r="G128" s="25" t="str">
        <x:v>bundesamt-fur-statistik-bfs</x:v>
      </x:c>
      <x:c r="H128" s="25" t="str">
        <x:v>https://opendata.swiss/de/dataset/status-s-sozialhilfequote-der-personen-mit-schutzstatus-s-nach-kanton</x:v>
      </x:c>
      <x:c r="I128" s="25" t="str">
        <x:v>Freigegeben</x:v>
      </x:c>
      <x:c r="J128" s="25" t="str">
        <x:v>Manuell gegen Titel, Publisher, Katalogprofil, Einsatzbereitschaft und Eindeutigkeit geprüft.</x:v>
      </x:c>
    </x:row>
    <x:row r="129">
      <x:c r="A129" s="24" t="str">
        <x:v>q128_it_synonym_typo</x:v>
      </x:c>
      <x:c r="B129" s="24" t="str">
        <x:v>it</x:v>
      </x:c>
      <x:c r="C129" s="24" t="str">
        <x:v>synonym_typo</x:v>
      </x:c>
      <x:c r="D129" s="25" t="str">
        <x:v>Cerco importi e beneficiari delle borse di studio per categoria di stranieri e cantone.</x:v>
      </x:c>
      <x:c r="E129" s="25" t="str">
        <x:v>ckan:stipendien-betrag-bezugerinnen-und-bezuger-nach-auslanderkategorie-und-kanton4:654d9e09-cbac-46d1-8cdc-c74eadd89c41</x:v>
      </x:c>
      <x:c r="F129" s="25" t="str">
        <x:v>Stipendien: Betrag, Bezügerinnen und Bezüger nach Ausländerkategorie und Kanton</x:v>
      </x:c>
      <x:c r="G129" s="25" t="str">
        <x:v>bundesamt-fur-statistik-bfs</x:v>
      </x:c>
      <x:c r="H129" s="25" t="str">
        <x:v>https://opendata.swiss/de/dataset/stipendien-betrag-bezugerinnen-und-bezuger-nach-auslanderkategorie-und-kanton4</x:v>
      </x:c>
      <x:c r="I129" s="25" t="str">
        <x:v>Freigegeben</x:v>
      </x:c>
      <x:c r="J129" s="25" t="str">
        <x:v>Manuell gegen Titel, Publisher, Katalogprofil, Einsatzbereitschaft und Eindeutigkeit geprüft.</x:v>
      </x:c>
    </x:row>
    <x:row r="130">
      <x:c r="A130" s="24" t="str">
        <x:v>q129_it_synonym_typo</x:v>
      </x:c>
      <x:c r="B130" s="24" t="str">
        <x:v>it</x:v>
      </x:c>
      <x:c r="C130" s="24" t="str">
        <x:v>synonym_typo</x:v>
      </x:c>
      <x:c r="D130" s="25" t="str">
        <x:v>Cerco il consumo trimestrale di elettricità in migliaia di kWh dal 1993.</x:v>
      </x:c>
      <x:c r="E130" s="25" t="str">
        <x:v>ckan:stromverbrauch-in-tausend-kwh-pro-quartal-ab-1993:2ad29980-3ea5-41e5-805b-00c86c060947</x:v>
      </x:c>
      <x:c r="F130" s="25" t="str">
        <x:v>Consommation d'énergie électrique, en milliers de kWh, par trimestre, dès 1993</x:v>
      </x:c>
      <x:c r="G130" s="25" t="str">
        <x:v>Amt für Statistik und Daten Freiburg</x:v>
      </x:c>
      <x:c r="H130" s="25" t="str">
        <x:v>https://opendata.swiss/de/dataset/stromverbrauch-in-tausend-kwh-pro-quartal-ab-1993</x:v>
      </x:c>
      <x:c r="I130" s="25" t="str">
        <x:v>Freigegeben</x:v>
      </x:c>
      <x:c r="J130" s="25" t="str">
        <x:v>Manuell gegen Titel, Publisher, Katalogprofil, Einsatzbereitschaft und Eindeutigkeit geprüft.</x:v>
      </x:c>
    </x:row>
    <x:row r="131">
      <x:c r="A131" s="24" t="str">
        <x:v>q130_it_synonym_typo</x:v>
      </x:c>
      <x:c r="B131" s="24" t="str">
        <x:v>it</x:v>
      </x:c>
      <x:c r="C131" s="24" t="str">
        <x:v>synonym_typo</x:v>
      </x:c>
      <x:c r="D131" s="25" t="str">
        <x:v>Cerco le misure meteo orarie della città di Zurigo per il 2023.</x:v>
      </x:c>
      <x:c r="E131" s="25" t="str">
        <x:v>ckan:stundlich-aktualisierte-meteodaten-seit-1992:1d431dcd-5be7-4eda-8ad6-4248dbf263ce</x:v>
      </x:c>
      <x:c r="F131" s="25" t="str">
        <x:v>ugz_ogd_meteo_h1_2023.csv</x:v>
      </x:c>
      <x:c r="G131" s="25" t="str">
        <x:v>stadt-zurich</x:v>
      </x:c>
      <x:c r="H131" s="25" t="str">
        <x:v>https://opendata.swiss/de/dataset/stundlich-aktualisierte-meteodaten-seit-1992</x:v>
      </x:c>
      <x:c r="I131" s="25" t="str">
        <x:v>Freigegeben</x:v>
      </x:c>
      <x:c r="J131" s="25" t="str">
        <x:v>Manuell gegen Titel, Publisher, Katalogprofil, Einsatzbereitschaft und Eindeutigkeit geprüft.</x:v>
      </x:c>
    </x:row>
    <x:row r="132">
      <x:c r="A132" s="24" t="str">
        <x:v>q131_en_synonym_typo</x:v>
      </x:c>
      <x:c r="B132" s="24" t="str">
        <x:v>en</x:v>
      </x:c>
      <x:c r="C132" s="24" t="str">
        <x:v>synonym_typo</x:v>
      </x:c>
      <x:c r="D132" s="25" t="str">
        <x:v>Find the 2026 Swiss public-transport journey-ID timetable listing.</x:v>
      </x:c>
      <x:c r="E132" s="25" t="str">
        <x:v>ckan:swiss-journey-id-sjyid-2026-v2:dfdfb28b-314c-496e-a7be-0aa4b039ff5a</x:v>
      </x:c>
      <x:c r="F132" s="25" t="str">
        <x:v>Listing-SJYID-FP-2026-202605062202-v2.csv</x:v>
      </x:c>
      <x:c r="G132" s="25" t="str">
        <x:v>oevch</x:v>
      </x:c>
      <x:c r="H132" s="25" t="str">
        <x:v>https://opendata.swiss/de/dataset/swiss-journey-id-sjyid-2026-v2</x:v>
      </x:c>
      <x:c r="I132" s="25" t="str">
        <x:v>Freigegeben</x:v>
      </x:c>
      <x:c r="J132" s="25" t="str">
        <x:v>Manuell gegen Titel, Publisher, Katalogprofil, Einsatzbereitschaft und Eindeutigkeit geprüft.</x:v>
      </x:c>
    </x:row>
    <x:row r="133">
      <x:c r="A133" s="24" t="str">
        <x:v>q132_en_synonym_typo</x:v>
      </x:c>
      <x:c r="B133" s="24" t="str">
        <x:v>en</x:v>
      </x:c>
      <x:c r="C133" s="24" t="str">
        <x:v>synonym_typo</x:v>
      </x:c>
      <x:c r="D133" s="25" t="str">
        <x:v>Find average daily travel distance broken down by mode of transport.</x:v>
      </x:c>
      <x:c r="E133" s="25" t="str">
        <x:v>ckan:tagesdistanz-nach-verkehrsmittel:e94ca160-a820-4b01-8006-604df19c5abb</x:v>
      </x:c>
      <x:c r="F133" s="25" t="str">
        <x:v>Tagesdistanz nach Verkehrsmittel</x:v>
      </x:c>
      <x:c r="G133" s="25" t="str">
        <x:v>kanton-zug</x:v>
      </x:c>
      <x:c r="H133" s="25" t="str">
        <x:v>https://opendata.swiss/de/dataset/tagesdistanz-nach-verkehrsmittel</x:v>
      </x:c>
      <x:c r="I133" s="25" t="str">
        <x:v>Freigegeben</x:v>
      </x:c>
      <x:c r="J133" s="25" t="str">
        <x:v>Manuell gegen Titel, Publisher, Katalogprofil, Einsatzbereitschaft und Eindeutigkeit geprüft.</x:v>
      </x:c>
    </x:row>
    <x:row r="134">
      <x:c r="A134" s="24" t="str">
        <x:v>q133_en_synonym_typo</x:v>
      </x:c>
      <x:c r="B134" s="24" t="str">
        <x:v>en</x:v>
      </x:c>
      <x:c r="C134" s="24" t="str">
        <x:v>synonym_typo</x:v>
      </x:c>
      <x:c r="D134" s="25" t="str">
        <x:v>Find Swiss federal-vote turnout rates from 1910 onward.</x:v>
      </x:c>
      <x:c r="E134" s="25" t="str">
        <x:v>ckan:taux-de-participation-aux-votations-federales-des-1910:2b0fd824-1327-43d9-81cb-f004064e86fb</x:v>
      </x:c>
      <x:c r="F134" s="25" t="str">
        <x:v>Taux de participation aux votations f?d?rales, d?s 1910</x:v>
      </x:c>
      <x:c r="G134" s="25" t="str">
        <x:v>ssd</x:v>
      </x:c>
      <x:c r="H134" s="25" t="str">
        <x:v>https://opendata.swiss/de/dataset/taux-de-participation-aux-votations-federales-des-1910</x:v>
      </x:c>
      <x:c r="I134" s="25" t="str">
        <x:v>Freigegeben</x:v>
      </x:c>
      <x:c r="J134" s="25" t="str">
        <x:v>Manuell gegen Titel, Publisher, Katalogprofil, Einsatzbereitschaft und Eindeutigkeit geprüft.</x:v>
      </x:c>
    </x:row>
    <x:row r="135">
      <x:c r="A135" s="24" t="str">
        <x:v>q134_en_synonym_typo</x:v>
      </x:c>
      <x:c r="B135" s="24" t="str">
        <x:v>en</x:v>
      </x:c>
      <x:c r="C135" s="24" t="str">
        <x:v>synonym_typo</x:v>
      </x:c>
      <x:c r="D135" s="25" t="str">
        <x:v>Find the Asian tiger mosquito control zone in Basel.</x:v>
      </x:c>
      <x:c r="E135" s="25" t="str">
        <x:v>ckan:tigermuckenbekampfung-bekampfungszone:56804159-ffc3-4547-a074-7fcfafbc0aa9</x:v>
      </x:c>
      <x:c r="F135" s="25" t="str">
        <x:v>Tigermückenbekämpfung: Bekämpfungszone</x:v>
      </x:c>
      <x:c r="G135" s="25" t="str">
        <x:v>kanton-basel-stadt</x:v>
      </x:c>
      <x:c r="H135" s="25" t="str">
        <x:v>https://opendata.swiss/de/dataset/tigermuckenbekampfung-bekampfungszone</x:v>
      </x:c>
      <x:c r="I135" s="25" t="str">
        <x:v>Freigegeben</x:v>
      </x:c>
      <x:c r="J135" s="25" t="str">
        <x:v>Manuell gegen Titel, Publisher, Katalogprofil, Einsatzbereitschaft und Eindeutigkeit geprüft.</x:v>
      </x:c>
    </x:row>
    <x:row r="136">
      <x:c r="A136" s="24" t="str">
        <x:v>q135_en_synonym_typo</x:v>
      </x:c>
      <x:c r="B136" s="24" t="str">
        <x:v>en</x:v>
      </x:c>
      <x:c r="C136" s="24" t="str">
        <x:v>synonym_typo</x:v>
      </x:c>
      <x:c r="D136" s="25" t="str">
        <x:v>Find the 2012 financial overview of school municipalities in Thurgau.</x:v>
      </x:c>
      <x:c r="E136" s="25" t="str">
        <x:v>ckan:ubersicht-finanzlage-schulgemeinden-kanton-thurgau-2012:138deebc-bbc6-4cd6-a5d4-e774d76e48ba</x:v>
      </x:c>
      <x:c r="F136" s="25" t="str">
        <x:v>Übersicht Finanzlage Schulgemeinden Kanton Thurgau 2012</x:v>
      </x:c>
      <x:c r="G136" s="25" t="str">
        <x:v>kanton-thurgau</x:v>
      </x:c>
      <x:c r="H136" s="25" t="str">
        <x:v>https://opendata.swiss/de/dataset/ubersicht-finanzlage-schulgemeinden-kanton-thurgau-2012</x:v>
      </x:c>
      <x:c r="I136" s="25" t="str">
        <x:v>Freigegeben</x:v>
      </x:c>
      <x:c r="J136" s="25" t="str">
        <x:v>Manuell gegen Titel, Publisher, Katalogprofil, Einsatzbereitschaft und Eindeutigkeit geprüft.</x:v>
      </x:c>
    </x:row>
    <x:row r="137">
      <x:c r="A137" s="24" t="str">
        <x:v>q136_en_synonym_typo</x:v>
      </x:c>
      <x:c r="B137" s="24" t="str">
        <x:v>en</x:v>
      </x:c>
      <x:c r="C137" s="24" t="str">
        <x:v>synonym_typo</x:v>
      </x:c>
      <x:c r="D137" s="25" t="str">
        <x:v>Find people who moved, grouped by the floor-space size of their old and new dwelling.</x:v>
      </x:c>
      <x:c r="E137" s="25" t="str">
        <x:v>ckan:umgezogene-personen-nach-flachenklasse-und-differenz-der-wohnungsflachen1:40b7d3eb-a8b7-41e8-ae69-b68218b35a7b</x:v>
      </x:c>
      <x:c r="F137" s="25" t="str">
        <x:v>Umgezogene Personen nach Flächenklasse und Differenz der Wohnungsflächen</x:v>
      </x:c>
      <x:c r="G137" s="25" t="str">
        <x:v>bundesamt-fur-statistik-bfs</x:v>
      </x:c>
      <x:c r="H137" s="25" t="str">
        <x:v>https://opendata.swiss/de/dataset/umgezogene-personen-nach-flachenklasse-und-differenz-der-wohnungsflachen1</x:v>
      </x:c>
      <x:c r="I137" s="25" t="str">
        <x:v>Freigegeben</x:v>
      </x:c>
      <x:c r="J137" s="25" t="str">
        <x:v>Manuell gegen Titel, Publisher, Katalogprofil, Einsatzbereitschaft und Eindeutigkeit geprüft.</x:v>
      </x:c>
    </x:row>
    <x:row r="138">
      <x:c r="A138" s="24" t="str">
        <x:v>q137_en_synonym_typo</x:v>
      </x:c>
      <x:c r="B138" s="24" t="str">
        <x:v>en</x:v>
      </x:c>
      <x:c r="C138" s="24" t="str">
        <x:v>synonym_typo</x:v>
      </x:c>
      <x:c r="D138" s="25" t="str">
        <x:v>Find the relocation rate of permanent residents by Swiss canton.</x:v>
      </x:c>
      <x:c r="E138" s="25" t="str">
        <x:v>ckan:umzugsquote-der-standigen-wohnbevolkerung-nach-kanton-2:f3af529d-6fa9-4ea8-b4b7-7e5fef85cf60</x:v>
      </x:c>
      <x:c r="F138" s="25" t="str">
        <x:v>Umzugsquote der ständigen Wohnbevölkerung nach Kanton</x:v>
      </x:c>
      <x:c r="G138" s="25" t="str">
        <x:v>bundesamt-fur-statistik-bfs</x:v>
      </x:c>
      <x:c r="H138" s="25" t="str">
        <x:v>https://opendata.swiss/de/dataset/umzugsquote-der-standigen-wohnbevolkerung-nach-kanton-2</x:v>
      </x:c>
      <x:c r="I138" s="25" t="str">
        <x:v>Freigegeben</x:v>
      </x:c>
      <x:c r="J138" s="25" t="str">
        <x:v>Manuell gegen Titel, Publisher, Katalogprofil, Einsatzbereitschaft und Eindeutigkeit geprüft.</x:v>
      </x:c>
    </x:row>
    <x:row r="139">
      <x:c r="A139" s="24" t="str">
        <x:v>q138_en_synonym_typo</x:v>
      </x:c>
      <x:c r="B139" s="24" t="str">
        <x:v>en</x:v>
      </x:c>
      <x:c r="C139" s="24" t="str">
        <x:v>synonym_typo</x:v>
      </x:c>
      <x:c r="D139" s="25" t="str">
        <x:v>Find modified ballots from the 20 October 2024 cantonal parliament election.</x:v>
      </x:c>
      <x:c r="E139" s="25" t="str">
        <x:v>ckan:veranderte-wahlzettel-der-grossratswahlen-2024:b3bda650-a203-4b52-9b2b-d26a80671868</x:v>
      </x:c>
      <x:c r="F139" s="25" t="str">
        <x:v>Veränderte Wahlzettel der Grossratswahlen 20. Oktober 2024</x:v>
      </x:c>
      <x:c r="G139" s="25" t="str">
        <x:v>kanton-basel-stadt</x:v>
      </x:c>
      <x:c r="H139" s="25" t="str">
        <x:v>https://opendata.swiss/de/dataset/veranderte-wahlzettel-der-grossratswahlen-2024</x:v>
      </x:c>
      <x:c r="I139" s="25" t="str">
        <x:v>Freigegeben</x:v>
      </x:c>
      <x:c r="J139" s="25" t="str">
        <x:v>Manuell gegen Titel, Publisher, Katalogprofil, Einsatzbereitschaft und Eindeutigkeit geprüft.</x:v>
      </x:c>
    </x:row>
    <x:row r="140">
      <x:c r="A140" s="24" t="str">
        <x:v>q139_en_synonym_typo</x:v>
      </x:c>
      <x:c r="B140" s="24" t="str">
        <x:v>en</x:v>
      </x:c>
      <x:c r="C140" s="24" t="str">
        <x:v>synonym_typo</x:v>
      </x:c>
      <x:c r="D140" s="25" t="str">
        <x:v>Find freight-transport result tables for Switzerland’s Transport Outlook 2040.</x:v>
      </x:c>
      <x:c r="E140" s="25" t="str">
        <x:v>ckan:verkehrsperspektiven-2040:36c4049f-9c27-4020-a10b-aa916d38237a</x:v>
      </x:c>
      <x:c r="F140" s="25" t="str">
        <x:v>Verkehrsperspektiven 2040 - Ergebnistabellen Güterverkehr</x:v>
      </x:c>
      <x:c r="G140" s="25" t="str">
        <x:v>bundesamt-fur-raumentwicklung-are</x:v>
      </x:c>
      <x:c r="H140" s="25" t="str">
        <x:v>https://opendata.swiss/de/dataset/verkehrsperspektiven-2040</x:v>
      </x:c>
      <x:c r="I140" s="25" t="str">
        <x:v>Freigegeben</x:v>
      </x:c>
      <x:c r="J140" s="25" t="str">
        <x:v>Manuell gegen Titel, Publisher, Katalogprofil, Einsatzbereitschaft und Eindeutigkeit geprüft.</x:v>
      </x:c>
    </x:row>
    <x:row r="141">
      <x:c r="A141" s="24" t="str">
        <x:v>q140_en_synonym_typo</x:v>
      </x:c>
      <x:c r="B141" s="24" t="str">
        <x:v>en</x:v>
      </x:c>
      <x:c r="C141" s="24" t="str">
        <x:v>synonym_typo</x:v>
      </x:c>
      <x:c r="D141" s="25" t="str">
        <x:v>Find adult convictions for selected felonies and misdemeanours.</x:v>
      </x:c>
      <x:c r="E141" s="25" t="str">
        <x:v>ckan:verurteilungen-von-erwachsenen-fur-ein-verbrechen-oder-vergehen-nach-ausgewahlten-straftaten3:48864771-049f-4185-809b-20c964aca04e</x:v>
      </x:c>
      <x:c r="F141" s="25" t="str">
        <x:v>Verurteilungen von Erwachsenen für ein Verbrechen oder Vergehen nach ausgewählten Straftaten</x:v>
      </x:c>
      <x:c r="G141" s="25" t="str">
        <x:v>bundesamt-fur-statistik-bfs</x:v>
      </x:c>
      <x:c r="H141" s="25" t="str">
        <x:v>https://opendata.swiss/de/dataset/verurteilungen-von-erwachsenen-fur-ein-verbrechen-oder-vergehen-nach-ausgewahlten-straftaten3</x:v>
      </x:c>
      <x:c r="I141" s="25" t="str">
        <x:v>Freigegeben</x:v>
      </x:c>
      <x:c r="J141" s="25" t="str">
        <x:v>Manuell gegen Titel, Publisher, Katalogprofil, Einsatzbereitschaft und Eindeutigkeit geprüft.</x:v>
      </x:c>
    </x:row>
    <x:row r="142">
      <x:c r="A142" s="24" t="str">
        <x:v>q141_en_synonym_typo</x:v>
      </x:c>
      <x:c r="B142" s="24" t="str">
        <x:v>en</x:v>
      </x:c>
      <x:c r="C142" s="24" t="str">
        <x:v>synonym_typo</x:v>
      </x:c>
      <x:c r="D142" s="25" t="str">
        <x:v>Find JSON voting data for the initiative on socially fair financing of climate policy.</x:v>
      </x:c>
      <x:c r="E142" s="25" t="str">
        <x:v>ckan:volksinitiative-fur-eine-soziale-klimapolitik-steuerlich-gerecht-finanziert-initiative-fur-eine2:da142bbe-4ae7-4b2e-abbc-03703d792f59</x:v>
      </x:c>
      <x:c r="F142" s="25" t="str">
        <x:v>volksinitiative-fuer-eine-soziale-klimapolitik-steuerlich-gerecht-finanziert-initiative-fuer-eine-zukunft.json</x:v>
      </x:c>
      <x:c r="G142" s="25" t="str">
        <x:v>kanton-basel-landschaft</x:v>
      </x:c>
      <x:c r="H142" s="25" t="str">
        <x:v>https://opendata.swiss/de/dataset/volksinitiative-fur-eine-soziale-klimapolitik-steuerlich-gerecht-finanziert-initiative-fur-eine2</x:v>
      </x:c>
      <x:c r="I142" s="25" t="str">
        <x:v>Freigegeben</x:v>
      </x:c>
      <x:c r="J142" s="25" t="str">
        <x:v>Manuell gegen Titel, Publisher, Katalogprofil, Einsatzbereitschaft und Eindeutigkeit geprüft.</x:v>
      </x:c>
    </x:row>
    <x:row r="143">
      <x:c r="A143" s="24" t="str">
        <x:v>q142_en_synonym_typo</x:v>
      </x:c>
      <x:c r="B143" s="24" t="str">
        <x:v>en</x:v>
      </x:c>
      <x:c r="C143" s="24" t="str">
        <x:v>synonym_typo</x:v>
      </x:c>
      <x:c r="D143" s="25" t="str">
        <x:v>Find JSON voting data for the Swiss face-covering ban initiative of 15 September 2017.</x:v>
      </x:c>
      <x:c r="E143" s="25" t="str">
        <x:v>ckan:volksinitiative-vom-15-september-2017-ja-zum-verhullungsverbot:93364f0f-46f3-4726-964e-d0314a4c38f6</x:v>
      </x:c>
      <x:c r="F143" s="25" t="str">
        <x:v>volksinitiative-vom-15-september-2017-ja-zum-verhuellungsverbot.json</x:v>
      </x:c>
      <x:c r="G143" s="25" t="str">
        <x:v>staatskanzlei-zug</x:v>
      </x:c>
      <x:c r="H143" s="25" t="str">
        <x:v>https://opendata.swiss/de/dataset/volksinitiative-vom-15-september-2017-ja-zum-verhullungsverbot</x:v>
      </x:c>
      <x:c r="I143" s="25" t="str">
        <x:v>Freigegeben</x:v>
      </x:c>
      <x:c r="J143" s="25" t="str">
        <x:v>Manuell gegen Titel, Publisher, Katalogprofil, Einsatzbereitschaft und Eindeutigkeit geprüft.</x:v>
      </x:c>
    </x:row>
    <x:row r="144">
      <x:c r="A144" s="24" t="str">
        <x:v>q143_en_synonym_typo</x:v>
      </x:c>
      <x:c r="B144" s="24" t="str">
        <x:v>en</x:v>
      </x:c>
      <x:c r="C144" s="24" t="str">
        <x:v>synonym_typo</x:v>
      </x:c>
      <x:c r="D144" s="25" t="str">
        <x:v>Find CSV voting data for the initiative against fighter-jet noise in tourist areas.</x:v>
      </x:c>
      <x:c r="E144" s="25" t="str">
        <x:v>ckan:volksinitiative-vom-3-november-2005-gegen-kampfjetlarm-in-tourismusgebieten:3c88eacd-ad94-42f6-9daa-fda4d9b0d5ed</x:v>
      </x:c>
      <x:c r="F144" s="25" t="str">
        <x:v>volksinitiative-vom-3-november-2005-gegen-kampfjetlaerm-in-tourismusgebieten.csv</x:v>
      </x:c>
      <x:c r="G144" s="25" t="str">
        <x:v>kanton-basel-landschaft</x:v>
      </x:c>
      <x:c r="H144" s="25" t="str">
        <x:v>https://opendata.swiss/de/dataset/volksinitiative-vom-3-november-2005-gegen-kampfjetlarm-in-tourismusgebieten</x:v>
      </x:c>
      <x:c r="I144" s="25" t="str">
        <x:v>Freigegeben</x:v>
      </x:c>
      <x:c r="J144" s="25" t="str">
        <x:v>Manuell gegen Titel, Publisher, Katalogprofil, Einsatzbereitschaft und Eindeutigkeit geprüft.</x:v>
      </x:c>
    </x:row>
    <x:row r="145">
      <x:c r="A145" s="24" t="str">
        <x:v>q144_en_synonym_typo</x:v>
      </x:c>
      <x:c r="B145" s="24" t="str">
        <x:v>en</x:v>
      </x:c>
      <x:c r="C145" s="24" t="str">
        <x:v>synonym_typo</x:v>
      </x:c>
      <x:c r="D145" s="25" t="str">
        <x:v>Find the members who submit motions in the Grand Council of Thurgau.</x:v>
      </x:c>
      <x:c r="E145" s="25" t="str">
        <x:v>ckan:vorstosserinnen-und-vorstosser-im-grossen-rat-des-kantons-thurgau:54d1986a-c8a5-468b-9b2b-f0b97c0ae898</x:v>
      </x:c>
      <x:c r="F145" s="25" t="str">
        <x:v>Vorstösserinnen und Vorstösser im Grossen Rat des Kantons Thurgau</x:v>
      </x:c>
      <x:c r="G145" s="25" t="str">
        <x:v>Kanton Thurgau</x:v>
      </x:c>
      <x:c r="H145" s="25" t="str">
        <x:v>https://opendata.swiss/de/dataset/vorstosserinnen-und-vorstosser-im-grossen-rat-des-kantons-thurgau</x:v>
      </x:c>
      <x:c r="I145" s="25" t="str">
        <x:v>Freigegeben</x:v>
      </x:c>
      <x:c r="J145" s="25" t="str">
        <x:v>Manuell gegen Titel, Publisher, Katalogprofil, Einsatzbereitschaft und Eindeutigkeit geprüft.</x:v>
      </x:c>
    </x:row>
    <x:row r="146">
      <x:c r="A146" s="24" t="str">
        <x:v>q145_en_synonym_typo</x:v>
      </x:c>
      <x:c r="B146" s="24" t="str">
        <x:v>en</x:v>
      </x:c>
      <x:c r="C146" s="24" t="str">
        <x:v>synonym_typo</x:v>
      </x:c>
      <x:c r="D146" s="25" t="str">
        <x:v>Find candidates for the first round of the 2015 Zurich government election.</x:v>
      </x:c>
      <x:c r="E146" s="25" t="str">
        <x:v>ckan:wahlarchiv-regierungsratswahlen:afd8c7f5-3f7b-4db2-8323-dc1a3811b11b</x:v>
      </x:c>
      <x:c r="F146" s="25" t="str">
        <x:v>Kandidierende 1. Wahlgang Gesamterneuerungswahl Regierungsrat 2015</x:v>
      </x:c>
      <x:c r="G146" s="25" t="str">
        <x:v>statistisches-amt-kanton-zuerich</x:v>
      </x:c>
      <x:c r="H146" s="25" t="str">
        <x:v>https://opendata.swiss/de/dataset/wahlarchiv-regierungsratswahlen</x:v>
      </x:c>
      <x:c r="I146" s="25" t="str">
        <x:v>Freigegeben</x:v>
      </x:c>
      <x:c r="J146" s="25" t="str">
        <x:v>Manuell gegen Titel, Publisher, Katalogprofil, Einsatzbereitschaft und Eindeutigkeit geprüft.</x:v>
      </x:c>
    </x:row>
    <x:row r="147">
      <x:c r="A147" s="24" t="str">
        <x:v>q146_en_synonym_typo</x:v>
      </x:c>
      <x:c r="B147" s="24" t="str">
        <x:v>en</x:v>
      </x:c>
      <x:c r="C147" s="24" t="str">
        <x:v>synonym_typo</x:v>
      </x:c>
      <x:c r="D147" s="25" t="str">
        <x:v>Find the JSON schema for seasonally adjusted Swiss imports by partner country.</x:v>
      </x:c>
      <x:c r="E147" s="25" t="str">
        <x:v>ckan:waren-aussenhandel-saisonbereinigte-daten-nach-landern:2624e2df-46b8-4073-828a-6e5c128e2f3f</x:v>
      </x:c>
      <x:c r="F147" s="25" t="str">
        <x:v>Scheme_SA_COUNTRY IMP</x:v>
      </x:c>
      <x:c r="G147" s="25" t="str">
        <x:v>eidgenoessische_zollverwaltung_ezv</x:v>
      </x:c>
      <x:c r="H147" s="25" t="str">
        <x:v>https://opendata.swiss/de/dataset/waren-aussenhandel-saisonbereinigte-daten-nach-landern</x:v>
      </x:c>
      <x:c r="I147" s="25" t="str">
        <x:v>Freigegeben</x:v>
      </x:c>
      <x:c r="J147" s="25" t="str">
        <x:v>Manuell gegen Titel, Publisher, Katalogprofil, Einsatzbereitschaft und Eindeutigkeit geprüft.</x:v>
      </x:c>
    </x:row>
    <x:row r="148">
      <x:c r="A148" s="24" t="str">
        <x:v>q147_en_synonym_typo</x:v>
      </x:c>
      <x:c r="B148" s="24" t="str">
        <x:v>en</x:v>
      </x:c>
      <x:c r="C148" s="24" t="str">
        <x:v>synonym_typo</x:v>
      </x:c>
      <x:c r="D148" s="25" t="str">
        <x:v>Find female first names by birth cohort in Switzerland in 2022.</x:v>
      </x:c>
      <x:c r="E148" s="25" t="str">
        <x:v>ckan:weibliche-vornamen-der-bevolkerung-nach-jahrgang-schweiz-2022:42eb732e-c8b3-4c43-a864-9a1a88342236</x:v>
      </x:c>
      <x:c r="F148" s="25" t="str">
        <x:v>Weibliche Vornamen der Bevölkerung nach Jahrgang, Schweiz, 2022</x:v>
      </x:c>
      <x:c r="G148" s="25" t="str">
        <x:v>Bundesamt für Statistik BFS</x:v>
      </x:c>
      <x:c r="H148" s="25" t="str">
        <x:v>https://opendata.swiss/de/dataset/weibliche-vornamen-der-bevolkerung-nach-jahrgang-schweiz-2022</x:v>
      </x:c>
      <x:c r="I148" s="25" t="str">
        <x:v>Freigegeben</x:v>
      </x:c>
      <x:c r="J148" s="25" t="str">
        <x:v>Manuell gegen Titel, Publisher, Katalogprofil, Einsatzbereitschaft und Eindeutigkeit geprüft.</x:v>
      </x:c>
    </x:row>
    <x:row r="149">
      <x:c r="A149" s="24" t="str">
        <x:v>q148_en_synonym_typo</x:v>
      </x:c>
      <x:c r="B149" s="24" t="str">
        <x:v>en</x:v>
      </x:c>
      <x:c r="C149" s="24" t="str">
        <x:v>synonym_typo</x:v>
      </x:c>
      <x:c r="D149" s="25" t="str">
        <x:v>Find weekly deaths in Switzerland from 2010 to 2026.</x:v>
      </x:c>
      <x:c r="E149" s="25" t="str">
        <x:v>ckan:wochentliche-todesfalle-in-der-schweiz-2010-20261:5efc4097-17a6-4ea9-8fd7-166f314d4252</x:v>
      </x:c>
      <x:c r="F149" s="25" t="str">
        <x:v>Decessi per settimana in Svizzera, 2010-2026</x:v>
      </x:c>
      <x:c r="G149" s="25" t="str">
        <x:v>bundesamt-fur-statistik-bfs</x:v>
      </x:c>
      <x:c r="H149" s="25" t="str">
        <x:v>https://opendata.swiss/de/dataset/wochentliche-todesfalle-in-der-schweiz-2010-20261</x:v>
      </x:c>
      <x:c r="I149" s="25" t="str">
        <x:v>Freigegeben</x:v>
      </x:c>
      <x:c r="J149" s="25" t="str">
        <x:v>Manuell gegen Titel, Publisher, Katalogprofil, Einsatzbereitschaft und Eindeutigkeit geprüft.</x:v>
      </x:c>
    </x:row>
    <x:row r="150">
      <x:c r="A150" s="24" t="str">
        <x:v>q149_en_synonym_typo</x:v>
      </x:c>
      <x:c r="B150" s="24" t="str">
        <x:v>en</x:v>
      </x:c>
      <x:c r="C150" s="24" t="str">
        <x:v>synonym_typo</x:v>
      </x:c>
      <x:c r="D150" s="25" t="str">
        <x:v>Find dwellings by building category and Swiss canton.</x:v>
      </x:c>
      <x:c r="E150" s="25" t="str">
        <x:v>ckan:wohnungen-nach-gebaudekategorie-und-kantonen4:799a9122-145e-4d47-a100-4fdde94247b1</x:v>
      </x:c>
      <x:c r="F150" s="25" t="str">
        <x:v>Logements selon la catégorie de bâtiment et les cantons</x:v>
      </x:c>
      <x:c r="G150" s="25" t="str">
        <x:v>bundesamt-fur-statistik-bfs</x:v>
      </x:c>
      <x:c r="H150" s="25" t="str">
        <x:v>https://opendata.swiss/de/dataset/wohnungen-nach-gebaudekategorie-und-kantonen4</x:v>
      </x:c>
      <x:c r="I150" s="25" t="str">
        <x:v>Freigegeben</x:v>
      </x:c>
      <x:c r="J150" s="25" t="str">
        <x:v>Manuell gegen Titel, Publisher, Katalogprofil, Einsatzbereitschaft und Eindeutigkeit geprüft.</x:v>
      </x:c>
    </x:row>
    <x:row r="151">
      <x:c r="A151" s="24" t="str">
        <x:v>q150_en_synonym_typo</x:v>
      </x:c>
      <x:c r="B151" s="24" t="str">
        <x:v>en</x:v>
      </x:c>
      <x:c r="C151" s="24" t="str">
        <x:v>synonym_typo</x:v>
      </x:c>
      <x:c r="D151" s="25" t="str">
        <x:v>Find the statistical neighbourhoods of the city of St Gallen.</x:v>
      </x:c>
      <x:c r="E151" s="25" t="str">
        <x:v>ckan:wohnviertel-der-stadt-st-gallen-statistische-quartiere:7dfe8802-a4d6-4682-b005-d7e5b556aa3e</x:v>
      </x:c>
      <x:c r="F151" s="25" t="str">
        <x:v>Wohnviertel der Stadt St.Gallen (Statistische Quartiere)</x:v>
      </x:c>
      <x:c r="G151" s="25" t="str">
        <x:v>stadt-st-gallen</x:v>
      </x:c>
      <x:c r="H151" s="25" t="str">
        <x:v>https://opendata.swiss/de/dataset/wohnviertel-der-stadt-st-gallen-statistische-quartiere</x:v>
      </x:c>
      <x:c r="I151" s="25" t="str">
        <x:v>Freigegeben</x:v>
      </x:c>
      <x:c r="J151" s="25" t="str">
        <x:v>Manuell gegen Titel, Publisher, Katalogprofil, Einsatzbereitschaft und Eindeutigkeit geprüft.</x:v>
      </x:c>
    </x:row>
  </x:sheetData>
  <x:conditionalFormatting sqref="I2:I151">
    <x:cfRule type="containsText" dxfId="3" priority="1" operator="containsText" text="Freigegeben"/>
  </x:conditionalFormatting>
  <x:dataValidations count="1">
    <x:dataValidation type="list" sqref="I2:I151">
      <x:formula1>"Offen,Freigegeben,Korrigieren"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e9d10cd7754ced"/>
  </x:tableParts>
</x:worksheet>
</file>